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ненавижу\мсс\андрей всратый инцел\"/>
    </mc:Choice>
  </mc:AlternateContent>
  <xr:revisionPtr revIDLastSave="0" documentId="13_ncr:1_{902AA1A0-39A2-46A0-B128-7E20928E68FA}" xr6:coauthVersionLast="45" xr6:coauthVersionMax="45" xr10:uidLastSave="{00000000-0000-0000-0000-000000000000}"/>
  <bookViews>
    <workbookView xWindow="-108" yWindow="-108" windowWidth="19416" windowHeight="11016" activeTab="2" xr2:uid="{412C3889-4EFE-41E5-84C7-2090CDA816B6}"/>
  </bookViews>
  <sheets>
    <sheet name="ГУ 1" sheetId="2" r:id="rId1"/>
    <sheet name="ГУ 2" sheetId="1" r:id="rId2"/>
    <sheet name="ГУ 3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2" l="1"/>
  <c r="AJ13" i="2" l="1"/>
  <c r="C4" i="2"/>
  <c r="AF15" i="3"/>
  <c r="AB15" i="3"/>
  <c r="X15" i="3"/>
  <c r="T15" i="3"/>
  <c r="P15" i="3"/>
  <c r="L15" i="3"/>
  <c r="H15" i="3"/>
  <c r="AJ13" i="3"/>
  <c r="C5" i="3"/>
  <c r="AI15" i="3" s="1"/>
  <c r="C4" i="3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G12" i="2" l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/>
  <c r="F13" i="3"/>
  <c r="I15" i="3"/>
  <c r="M15" i="3"/>
  <c r="Q15" i="3"/>
  <c r="U15" i="3"/>
  <c r="Y15" i="3"/>
  <c r="AC15" i="3"/>
  <c r="AG15" i="3"/>
  <c r="J15" i="3"/>
  <c r="N15" i="3"/>
  <c r="R15" i="3"/>
  <c r="V15" i="3"/>
  <c r="Z15" i="3"/>
  <c r="AD15" i="3"/>
  <c r="AH15" i="3"/>
  <c r="G15" i="3"/>
  <c r="K15" i="3"/>
  <c r="O15" i="3"/>
  <c r="S15" i="3"/>
  <c r="W15" i="3"/>
  <c r="AA15" i="3"/>
  <c r="AE15" i="3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/>
  <c r="F13" i="1" s="1"/>
  <c r="G16" i="1" s="1"/>
  <c r="AF15" i="2" l="1"/>
  <c r="AB15" i="2"/>
  <c r="X15" i="2"/>
  <c r="T15" i="2"/>
  <c r="P15" i="2"/>
  <c r="L15" i="2"/>
  <c r="H15" i="2"/>
  <c r="AI15" i="2"/>
  <c r="AE15" i="2"/>
  <c r="AA15" i="2"/>
  <c r="W15" i="2"/>
  <c r="S15" i="2"/>
  <c r="O15" i="2"/>
  <c r="K15" i="2"/>
  <c r="G15" i="2"/>
  <c r="AH15" i="2"/>
  <c r="AD15" i="2"/>
  <c r="Z15" i="2"/>
  <c r="V15" i="2"/>
  <c r="R15" i="2"/>
  <c r="N15" i="2"/>
  <c r="J15" i="2"/>
  <c r="AG15" i="2"/>
  <c r="AC15" i="2"/>
  <c r="Y15" i="2"/>
  <c r="U15" i="2"/>
  <c r="Q15" i="2"/>
  <c r="M15" i="2"/>
  <c r="I15" i="2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<sst xmlns="http://schemas.openxmlformats.org/spreadsheetml/2006/main" count="39" uniqueCount="15">
  <si>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</si>
  <si>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</si>
  <si>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</si>
  <si>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</si>
  <si>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</si>
  <si>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</si>
  <si>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</si>
  <si>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</si>
  <si>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</si>
  <si>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</si>
  <si>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q_start</t>
  </si>
  <si>
    <t>q</t>
  </si>
  <si>
    <t>к1</t>
  </si>
  <si>
    <t>Te1</t>
  </si>
  <si>
    <t>T_start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</si>
</sst>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Border="1"/>
    <xf numFmtId="165" fontId="0" fillId="0" borderId="1" xfId="0" applyNumberFormat="1" applyBorder="1"/>
    <xf numFmtId="2" fontId="0" fillId="0" borderId="1" xfId="0" applyNumberFormat="1" applyBorder="1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'ГУ 1'!$F$12:$AJ$12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1'!$F$13:$AJ$13</c:f>
              <c:numCache>
                <c:formatCode>0.00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1D-4C49-9730-8A1A8D226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487944"/>
        <c:axId val="351488272"/>
      </c:scatterChart>
      <c:valAx>
        <c:axId val="3514879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8272"/>
        <c:crosses val="autoZero"/>
        <c:crossBetween val="midCat"/>
      </c:valAx>
      <c:valAx>
        <c:axId val="3514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84180621585707"/>
          <c:y val="9.5760701693578559E-2"/>
          <c:w val="0.74552095170065169"/>
          <c:h val="0.80867970008706758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'ГУ 2'!$F$12:$AJ$12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2'!$F$13:$AJ$13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50-40B5-90AC-E5243A2D8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31184"/>
        <c:axId val="426131512"/>
      </c:scatterChart>
      <c:valAx>
        <c:axId val="4261311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31512"/>
        <c:crosses val="autoZero"/>
        <c:crossBetween val="midCat"/>
      </c:valAx>
      <c:valAx>
        <c:axId val="426131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480072521772542E-2"/>
          <c:y val="9.5760701693578559E-2"/>
          <c:w val="0.86445025668118169"/>
          <c:h val="0.80867970008706758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[1]Лист1!$F$13:$AJ$13</c:f>
              <c:numCache>
                <c:formatCode>General</c:formatCode>
                <c:ptCount val="31"/>
                <c:pt idx="0">
                  <c:v>-3.3198903546661596</c:v>
                </c:pt>
                <c:pt idx="1">
                  <c:v>-2.6427302113835749</c:v>
                </c:pt>
                <c:pt idx="2">
                  <c:v>-1.9578043538461209</c:v>
                </c:pt>
                <c:pt idx="3">
                  <c:v>-1.2659726749563442</c:v>
                </c:pt>
                <c:pt idx="4">
                  <c:v>-0.56510352200997682</c:v>
                </c:pt>
                <c:pt idx="5">
                  <c:v>0.14190817412735265</c:v>
                </c:pt>
                <c:pt idx="6">
                  <c:v>0.85904055485646391</c:v>
                </c:pt>
                <c:pt idx="7">
                  <c:v>1.5814967853173161</c:v>
                </c:pt>
                <c:pt idx="8">
                  <c:v>2.3149231866588762</c:v>
                </c:pt>
                <c:pt idx="9">
                  <c:v>3.0528380950287768</c:v>
                </c:pt>
                <c:pt idx="10">
                  <c:v>3.802300375106201</c:v>
                </c:pt>
                <c:pt idx="11">
                  <c:v>4.5554347524541621</c:v>
                </c:pt>
                <c:pt idx="12">
                  <c:v>5.3203912416619605</c:v>
                </c:pt>
                <c:pt idx="13">
                  <c:v>6.0882532111102261</c:v>
                </c:pt>
                <c:pt idx="14">
                  <c:v>6.8678892515759502</c:v>
                </c:pt>
                <c:pt idx="15">
                  <c:v>7.6497388324564835</c:v>
                </c:pt>
                <c:pt idx="16">
                  <c:v>8.4429822906561895</c:v>
                </c:pt>
                <c:pt idx="17">
                  <c:v>9.2378400186967973</c:v>
                </c:pt>
                <c:pt idx="18">
                  <c:v>10.043381515637142</c:v>
                </c:pt>
                <c:pt idx="19">
                  <c:v>10.85004123301778</c:v>
                </c:pt>
                <c:pt idx="20">
                  <c:v>11.666358735503774</c:v>
                </c:pt>
                <c:pt idx="21">
                  <c:v>12.483404579971081</c:v>
                </c:pt>
                <c:pt idx="22">
                  <c:v>13.308791894295558</c:v>
                </c:pt>
                <c:pt idx="23">
                  <c:v>14.134619413000284</c:v>
                </c:pt>
                <c:pt idx="24">
                  <c:v>14.967218023467515</c:v>
                </c:pt>
                <c:pt idx="25">
                  <c:v>15.800059219894786</c:v>
                </c:pt>
                <c:pt idx="26">
                  <c:v>16.637892824300415</c:v>
                </c:pt>
                <c:pt idx="27">
                  <c:v>17.475844822174786</c:v>
                </c:pt>
                <c:pt idx="28">
                  <c:v>18.316855840406969</c:v>
                </c:pt>
                <c:pt idx="29">
                  <c:v>19.157912724245246</c:v>
                </c:pt>
                <c:pt idx="3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BD-4A90-8BA1-DD07E1464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31184"/>
        <c:axId val="426131512"/>
      </c:scatterChart>
      <c:valAx>
        <c:axId val="426131184"/>
        <c:scaling>
          <c:orientation val="minMax"/>
          <c:max val="0.350000000000000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31512"/>
        <c:crosses val="autoZero"/>
        <c:crossBetween val="midCat"/>
      </c:valAx>
      <c:valAx>
        <c:axId val="426131512"/>
        <c:scaling>
          <c:orientation val="minMax"/>
          <c:max val="23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240847</xdr:colOff>
      <xdr:row>20</xdr:row>
      <xdr:rowOff>163285</xdr:rowOff>
    </xdr:from>
    <xdr:to>
      <xdr:col>17</xdr:col>
      <xdr:colOff>545647</xdr:colOff>
      <xdr:row>37</xdr:row>
      <xdr:rowOff>68035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7DED006-096A-4DBD-9CA8-420B26C4D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326573</xdr:colOff>
      <xdr:row>21</xdr:row>
      <xdr:rowOff>54429</xdr:rowOff>
    </xdr:from>
    <xdr:ext cx="522900" cy="2177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65EDF9E-44AE-4642-BC89-0E1CA9C2C458}"/>
                </a:ext>
              </a:extLst>
            </xdr:cNvPr>
            <xdr:cNvSpPr txBox="1"/>
          </xdr:nvSpPr>
          <xdr:spPr>
            <a:xfrm>
              <a:off x="6422573" y="3940629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65EDF9E-44AE-4642-BC89-0E1CA9C2C458}"/>
                </a:ext>
              </a:extLst>
            </xdr:cNvPr>
            <xdr:cNvSpPr txBox="1"/>
          </xdr:nvSpPr>
          <xdr:spPr>
            <a:xfrm>
              <a:off x="6422573" y="3940629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16</xdr:col>
      <xdr:colOff>478971</xdr:colOff>
      <xdr:row>35</xdr:row>
      <xdr:rowOff>65315</xdr:rowOff>
    </xdr:from>
    <xdr:ext cx="64421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399D870-2A52-4D1B-BAE2-FC3E791D0C46}"/>
                </a:ext>
              </a:extLst>
            </xdr:cNvPr>
            <xdr:cNvSpPr txBox="1"/>
          </xdr:nvSpPr>
          <xdr:spPr>
            <a:xfrm>
              <a:off x="10232571" y="6542315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399D870-2A52-4D1B-BAE2-FC3E791D0C46}"/>
                </a:ext>
              </a:extLst>
            </xdr:cNvPr>
            <xdr:cNvSpPr txBox="1"/>
          </xdr:nvSpPr>
          <xdr:spPr>
            <a:xfrm>
              <a:off x="10232571" y="6542315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492579</xdr:colOff>
      <xdr:row>18</xdr:row>
      <xdr:rowOff>27215</xdr:rowOff>
    </xdr:from>
    <xdr:to>
      <xdr:col>18</xdr:col>
      <xdr:colOff>8659</xdr:colOff>
      <xdr:row>41</xdr:row>
      <xdr:rowOff>87086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69EC0A5-E275-4075-9A52-E3D10A181C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73479</xdr:colOff>
      <xdr:row>18</xdr:row>
      <xdr:rowOff>48986</xdr:rowOff>
    </xdr:from>
    <xdr:ext cx="52290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3CAA50-903E-4C07-8743-692B76CFA936}"/>
                </a:ext>
              </a:extLst>
            </xdr:cNvPr>
            <xdr:cNvSpPr txBox="1"/>
          </xdr:nvSpPr>
          <xdr:spPr>
            <a:xfrm>
              <a:off x="3731079" y="3477986"/>
              <a:ext cx="522900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3CAA50-903E-4C07-8743-692B76CFA936}"/>
                </a:ext>
              </a:extLst>
            </xdr:cNvPr>
            <xdr:cNvSpPr txBox="1"/>
          </xdr:nvSpPr>
          <xdr:spPr>
            <a:xfrm>
              <a:off x="3731079" y="3477986"/>
              <a:ext cx="522900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16</xdr:col>
      <xdr:colOff>243444</xdr:colOff>
      <xdr:row>39</xdr:row>
      <xdr:rowOff>141021</xdr:rowOff>
    </xdr:from>
    <xdr:ext cx="64421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CED3EE6-7D03-4B7C-AD57-D5A295B792FF}"/>
                </a:ext>
              </a:extLst>
            </xdr:cNvPr>
            <xdr:cNvSpPr txBox="1"/>
          </xdr:nvSpPr>
          <xdr:spPr>
            <a:xfrm>
              <a:off x="8854044" y="7570521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CED3EE6-7D03-4B7C-AD57-D5A295B792FF}"/>
                </a:ext>
              </a:extLst>
            </xdr:cNvPr>
            <xdr:cNvSpPr txBox="1"/>
          </xdr:nvSpPr>
          <xdr:spPr>
            <a:xfrm>
              <a:off x="8854044" y="7570521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17</xdr:row>
      <xdr:rowOff>-1</xdr:rowOff>
    </xdr:from>
    <xdr:to>
      <xdr:col>16</xdr:col>
      <xdr:colOff>510144</xdr:colOff>
      <xdr:row>40</xdr:row>
      <xdr:rowOff>59871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2BE2723-85CF-4B3C-89EA-2297E1C7B7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76200</xdr:colOff>
      <xdr:row>17</xdr:row>
      <xdr:rowOff>21770</xdr:rowOff>
    </xdr:from>
    <xdr:ext cx="52290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C1A59C1-7C8C-4215-A767-E6CD7C554D3E}"/>
                </a:ext>
              </a:extLst>
            </xdr:cNvPr>
            <xdr:cNvSpPr txBox="1"/>
          </xdr:nvSpPr>
          <xdr:spPr>
            <a:xfrm>
              <a:off x="4343400" y="3083625"/>
              <a:ext cx="522900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C1A59C1-7C8C-4215-A767-E6CD7C554D3E}"/>
                </a:ext>
              </a:extLst>
            </xdr:cNvPr>
            <xdr:cNvSpPr txBox="1"/>
          </xdr:nvSpPr>
          <xdr:spPr>
            <a:xfrm>
              <a:off x="4343400" y="3083625"/>
              <a:ext cx="522900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15</xdr:col>
      <xdr:colOff>306778</xdr:colOff>
      <xdr:row>37</xdr:row>
      <xdr:rowOff>9896</xdr:rowOff>
    </xdr:from>
    <xdr:ext cx="64421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733E741-4D84-4874-AE61-B70A072CC337}"/>
                </a:ext>
              </a:extLst>
            </xdr:cNvPr>
            <xdr:cNvSpPr txBox="1"/>
          </xdr:nvSpPr>
          <xdr:spPr>
            <a:xfrm>
              <a:off x="9450778" y="6673932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733E741-4D84-4874-AE61-B70A072CC337}"/>
                </a:ext>
              </a:extLst>
            </xdr:cNvPr>
            <xdr:cNvSpPr txBox="1"/>
          </xdr:nvSpPr>
          <xdr:spPr>
            <a:xfrm>
              <a:off x="9450778" y="6673932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homewor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0.01</v>
          </cell>
          <cell r="H12">
            <v>0.02</v>
          </cell>
          <cell r="I12">
            <v>0.03</v>
          </cell>
          <cell r="J12">
            <v>0.04</v>
          </cell>
          <cell r="K12">
            <v>0.05</v>
          </cell>
          <cell r="L12">
            <v>6.0000000000000005E-2</v>
          </cell>
          <cell r="M12">
            <v>7.0000000000000007E-2</v>
          </cell>
          <cell r="N12">
            <v>0.08</v>
          </cell>
          <cell r="O12">
            <v>0.09</v>
          </cell>
          <cell r="P12">
            <v>9.9999999999999992E-2</v>
          </cell>
          <cell r="Q12">
            <v>0.10999999999999999</v>
          </cell>
          <cell r="R12">
            <v>0.11999999999999998</v>
          </cell>
          <cell r="S12">
            <v>0.12999999999999998</v>
          </cell>
          <cell r="T12">
            <v>0.13999999999999999</v>
          </cell>
          <cell r="U12">
            <v>0.15</v>
          </cell>
          <cell r="V12">
            <v>0.16</v>
          </cell>
          <cell r="W12">
            <v>0.17</v>
          </cell>
          <cell r="X12">
            <v>0.18000000000000002</v>
          </cell>
          <cell r="Y12">
            <v>0.19000000000000003</v>
          </cell>
          <cell r="Z12">
            <v>0.20000000000000004</v>
          </cell>
          <cell r="AA12">
            <v>0.21000000000000005</v>
          </cell>
          <cell r="AB12">
            <v>0.22000000000000006</v>
          </cell>
          <cell r="AC12">
            <v>0.23000000000000007</v>
          </cell>
          <cell r="AD12">
            <v>0.24000000000000007</v>
          </cell>
          <cell r="AE12">
            <v>0.25000000000000006</v>
          </cell>
          <cell r="AF12">
            <v>0.26000000000000006</v>
          </cell>
          <cell r="AG12">
            <v>0.27000000000000007</v>
          </cell>
          <cell r="AH12">
            <v>0.28000000000000008</v>
          </cell>
          <cell r="AI12">
            <v>0.29000000000000009</v>
          </cell>
          <cell r="AJ12">
            <v>0.3000000000000001</v>
          </cell>
        </row>
        <row r="13">
          <cell r="F13">
            <v>-3.3198903546661596</v>
          </cell>
          <cell r="G13">
            <v>-2.6427302113835749</v>
          </cell>
          <cell r="H13">
            <v>-1.9578043538461209</v>
          </cell>
          <cell r="I13">
            <v>-1.2659726749563442</v>
          </cell>
          <cell r="J13">
            <v>-0.56510352200997682</v>
          </cell>
          <cell r="K13">
            <v>0.14190817412735265</v>
          </cell>
          <cell r="L13">
            <v>0.85904055485646391</v>
          </cell>
          <cell r="M13">
            <v>1.5814967853173161</v>
          </cell>
          <cell r="N13">
            <v>2.3149231866588762</v>
          </cell>
          <cell r="O13">
            <v>3.0528380950287768</v>
          </cell>
          <cell r="P13">
            <v>3.802300375106201</v>
          </cell>
          <cell r="Q13">
            <v>4.5554347524541621</v>
          </cell>
          <cell r="R13">
            <v>5.3203912416619605</v>
          </cell>
          <cell r="S13">
            <v>6.0882532111102261</v>
          </cell>
          <cell r="T13">
            <v>6.8678892515759502</v>
          </cell>
          <cell r="U13">
            <v>7.6497388324564835</v>
          </cell>
          <cell r="V13">
            <v>8.4429822906561895</v>
          </cell>
          <cell r="W13">
            <v>9.2378400186967973</v>
          </cell>
          <cell r="X13">
            <v>10.043381515637142</v>
          </cell>
          <cell r="Y13">
            <v>10.85004123301778</v>
          </cell>
          <cell r="Z13">
            <v>11.666358735503774</v>
          </cell>
          <cell r="AA13">
            <v>12.483404579971081</v>
          </cell>
          <cell r="AB13">
            <v>13.308791894295558</v>
          </cell>
          <cell r="AC13">
            <v>14.134619413000284</v>
          </cell>
          <cell r="AD13">
            <v>14.967218023467515</v>
          </cell>
          <cell r="AE13">
            <v>15.800059219894786</v>
          </cell>
          <cell r="AF13">
            <v>16.637892824300415</v>
          </cell>
          <cell r="AG13">
            <v>17.475844822174786</v>
          </cell>
          <cell r="AH13">
            <v>18.316855840406969</v>
          </cell>
          <cell r="AI13">
            <v>19.157912724245246</v>
          </cell>
          <cell r="AJ13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A566-C49B-4E16-AEF3-3C6D9E9B6503}">
  <dimension ref="B3:AJ15"/>
  <sheetViews>
    <sheetView zoomScale="55" zoomScaleNormal="55" workbookViewId="0">
      <selection activeCell="G36" sqref="G36"/>
    </sheetView>
  </sheetViews>
  <sheetFormatPr defaultRowHeight="14.4" x14ac:dyDescent="0.3"/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4">
        <f>C3/30</f>
        <v>3.3333333333333335E-3</v>
      </c>
    </row>
    <row r="5" spans="2:36" x14ac:dyDescent="0.3">
      <c r="B5" s="1" t="s">
        <v>2</v>
      </c>
      <c r="C5" s="4">
        <f>(C9*C8*C4^2)/(2*C10)</f>
        <v>0.4333333333333334</v>
      </c>
    </row>
    <row r="6" spans="2:36" x14ac:dyDescent="0.3">
      <c r="B6" s="1" t="s">
        <v>3</v>
      </c>
      <c r="C6" s="1">
        <v>60</v>
      </c>
      <c r="D6">
        <v>60.233333333333341</v>
      </c>
    </row>
    <row r="7" spans="2:36" x14ac:dyDescent="0.3">
      <c r="B7" s="3"/>
      <c r="C7" s="3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10</v>
      </c>
      <c r="C12" s="1">
        <v>92000</v>
      </c>
      <c r="E12" s="8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3">
      <c r="B13" s="1" t="s">
        <v>8</v>
      </c>
      <c r="C13" s="1">
        <v>100</v>
      </c>
      <c r="E13" s="8" t="s">
        <v>7</v>
      </c>
      <c r="F13" s="5">
        <f>C14</f>
        <v>300</v>
      </c>
      <c r="G13" s="5">
        <v>280.34602914679897</v>
      </c>
      <c r="H13" s="5">
        <v>260.69205829359794</v>
      </c>
      <c r="I13" s="5">
        <v>241.69187227593491</v>
      </c>
      <c r="J13" s="5">
        <v>222.69168625827183</v>
      </c>
      <c r="K13" s="5">
        <v>204.95390631913148</v>
      </c>
      <c r="L13" s="5">
        <v>187.21612637999107</v>
      </c>
      <c r="M13" s="5">
        <v>171.26453784334268</v>
      </c>
      <c r="N13" s="5">
        <v>155.31294930669429</v>
      </c>
      <c r="O13" s="5">
        <v>141.55671337374599</v>
      </c>
      <c r="P13" s="5">
        <v>127.80047744079765</v>
      </c>
      <c r="Q13" s="5">
        <v>116.51671674932982</v>
      </c>
      <c r="R13" s="5">
        <v>105.23295605786197</v>
      </c>
      <c r="S13" s="5">
        <v>96.561989352755049</v>
      </c>
      <c r="T13" s="5">
        <v>87.891022647648128</v>
      </c>
      <c r="U13" s="5">
        <v>81.842538774051832</v>
      </c>
      <c r="V13" s="5">
        <v>75.794054900455549</v>
      </c>
      <c r="W13" s="5">
        <v>72.261187114604226</v>
      </c>
      <c r="X13" s="5">
        <v>68.728319328752917</v>
      </c>
      <c r="Y13" s="5">
        <v>67.506108522455037</v>
      </c>
      <c r="Z13" s="5">
        <v>66.283897716157142</v>
      </c>
      <c r="AA13" s="5">
        <v>67.088962026000345</v>
      </c>
      <c r="AB13" s="5">
        <v>67.894026335843549</v>
      </c>
      <c r="AC13" s="5">
        <v>70.383127200086093</v>
      </c>
      <c r="AD13" s="5">
        <v>72.872228064328638</v>
      </c>
      <c r="AE13" s="5">
        <v>76.658491877071754</v>
      </c>
      <c r="AF13" s="5">
        <v>80.444755689814855</v>
      </c>
      <c r="AG13" s="5">
        <v>85.111263870845988</v>
      </c>
      <c r="AH13" s="5">
        <v>89.777772051877108</v>
      </c>
      <c r="AI13" s="5">
        <v>94.888886025938547</v>
      </c>
      <c r="AJ13" s="5">
        <f>C13</f>
        <v>100</v>
      </c>
    </row>
    <row r="14" spans="2:36" x14ac:dyDescent="0.3">
      <c r="B14" s="9" t="s">
        <v>14</v>
      </c>
      <c r="C14" s="9">
        <v>300</v>
      </c>
      <c r="E14" s="8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2:36" x14ac:dyDescent="0.3">
      <c r="E15" s="8" t="s">
        <v>9</v>
      </c>
      <c r="F15" s="7"/>
      <c r="G15" s="7">
        <f>G13+(($C$10*$C$5)/($C$9*$C$8))*((H13-2*G13+F13)/($C$4^2))</f>
        <v>280.34602914679897</v>
      </c>
      <c r="H15" s="7">
        <f t="shared" ref="H15:AI15" si="1">H13+(($C$10*$C$5)/($C$9*$C$8))*((I13-2*H13+G13)/($C$4^2))</f>
        <v>261.01895071136693</v>
      </c>
      <c r="I15" s="7">
        <f t="shared" si="1"/>
        <v>241.69187227593488</v>
      </c>
      <c r="J15" s="7">
        <f t="shared" si="1"/>
        <v>223.32288929753321</v>
      </c>
      <c r="K15" s="7">
        <f t="shared" si="1"/>
        <v>204.95390631913145</v>
      </c>
      <c r="L15" s="7">
        <f t="shared" si="1"/>
        <v>188.10922208123708</v>
      </c>
      <c r="M15" s="7">
        <f t="shared" si="1"/>
        <v>171.26453784334268</v>
      </c>
      <c r="N15" s="7">
        <f t="shared" si="1"/>
        <v>156.41062560854434</v>
      </c>
      <c r="O15" s="7">
        <f t="shared" si="1"/>
        <v>141.55671337374596</v>
      </c>
      <c r="P15" s="7">
        <f t="shared" si="1"/>
        <v>129.0367150615379</v>
      </c>
      <c r="Q15" s="7">
        <f t="shared" si="1"/>
        <v>116.51671674932982</v>
      </c>
      <c r="R15" s="7">
        <f t="shared" si="1"/>
        <v>106.53935305104244</v>
      </c>
      <c r="S15" s="7">
        <f t="shared" si="1"/>
        <v>96.561989352755049</v>
      </c>
      <c r="T15" s="7">
        <f t="shared" si="1"/>
        <v>89.202264063403447</v>
      </c>
      <c r="U15" s="7">
        <f t="shared" si="1"/>
        <v>81.842538774051832</v>
      </c>
      <c r="V15" s="7">
        <f t="shared" si="1"/>
        <v>77.051862944328036</v>
      </c>
      <c r="W15" s="7">
        <f t="shared" si="1"/>
        <v>72.26118711460424</v>
      </c>
      <c r="X15" s="7">
        <f t="shared" si="1"/>
        <v>69.883647818529624</v>
      </c>
      <c r="Y15" s="7">
        <f t="shared" si="1"/>
        <v>67.506108522455037</v>
      </c>
      <c r="Z15" s="7">
        <f t="shared" si="1"/>
        <v>67.297535274227698</v>
      </c>
      <c r="AA15" s="7">
        <f t="shared" si="1"/>
        <v>67.088962026000345</v>
      </c>
      <c r="AB15" s="7">
        <f t="shared" si="1"/>
        <v>68.736044613043219</v>
      </c>
      <c r="AC15" s="7">
        <f t="shared" si="1"/>
        <v>70.383127200086093</v>
      </c>
      <c r="AD15" s="7">
        <f t="shared" si="1"/>
        <v>73.520809538578931</v>
      </c>
      <c r="AE15" s="7">
        <f t="shared" si="1"/>
        <v>76.658491877071754</v>
      </c>
      <c r="AF15" s="7">
        <f t="shared" si="1"/>
        <v>80.884877873958871</v>
      </c>
      <c r="AG15" s="7">
        <f t="shared" si="1"/>
        <v>85.111263870845988</v>
      </c>
      <c r="AH15" s="7">
        <f t="shared" si="1"/>
        <v>90.000074948392268</v>
      </c>
      <c r="AI15" s="7">
        <f t="shared" si="1"/>
        <v>94.888886025938547</v>
      </c>
      <c r="AJ15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3CA73-1613-46A9-9532-18EF7C09DC8E}">
  <sheetPr codeName="Лист1"/>
  <dimension ref="B3:AJ16"/>
  <sheetViews>
    <sheetView topLeftCell="A6" zoomScale="55" zoomScaleNormal="55" workbookViewId="0">
      <selection activeCell="AC45" sqref="AB45:AC46"/>
    </sheetView>
  </sheetViews>
  <sheetFormatPr defaultRowHeight="14.4" x14ac:dyDescent="0.3"/>
  <cols>
    <col min="3" max="3" width="10.44140625" bestFit="1" customWidth="1"/>
    <col min="6" max="36" width="7.3320312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4">
        <f>C3/30</f>
        <v>3.3333333333333335E-3</v>
      </c>
    </row>
    <row r="5" spans="2:36" x14ac:dyDescent="0.3">
      <c r="B5" s="1" t="s">
        <v>2</v>
      </c>
      <c r="C5" s="4">
        <f>(C9*C8*C4^2)/(2*C10)</f>
        <v>0.4333333333333334</v>
      </c>
    </row>
    <row r="6" spans="2:36" x14ac:dyDescent="0.3">
      <c r="B6" s="1" t="s">
        <v>3</v>
      </c>
      <c r="C6" s="1">
        <v>5000</v>
      </c>
      <c r="D6">
        <v>5000.2333333333345</v>
      </c>
    </row>
    <row r="7" spans="2:36" x14ac:dyDescent="0.3">
      <c r="B7" s="3"/>
      <c r="C7" s="3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10</v>
      </c>
      <c r="C12" s="1">
        <v>92000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1" t="s">
        <v>8</v>
      </c>
      <c r="C13" s="1">
        <v>100</v>
      </c>
      <c r="E13" t="s">
        <v>7</v>
      </c>
      <c r="F13" s="1">
        <f>(F16/C10)*C4+G13</f>
        <v>299.99997763108735</v>
      </c>
      <c r="G13" s="1">
        <v>293.33331096442066</v>
      </c>
      <c r="H13" s="1">
        <v>286.6666443611611</v>
      </c>
      <c r="I13" s="1">
        <v>279.99997782112894</v>
      </c>
      <c r="J13" s="1">
        <v>273.33331134396514</v>
      </c>
      <c r="K13" s="1">
        <v>266.66664492913264</v>
      </c>
      <c r="L13" s="1">
        <v>259.99997857591751</v>
      </c>
      <c r="M13" s="1">
        <v>253.3333122834313</v>
      </c>
      <c r="N13" s="1">
        <v>246.66664605061328</v>
      </c>
      <c r="O13" s="1">
        <v>239.99997987623377</v>
      </c>
      <c r="P13" s="1">
        <v>233.33331375889719</v>
      </c>
      <c r="Q13" s="1">
        <v>226.66664769704656</v>
      </c>
      <c r="R13" s="1">
        <v>219.9999816889673</v>
      </c>
      <c r="S13" s="1">
        <v>213.33331573279273</v>
      </c>
      <c r="T13" s="1">
        <v>206.66664982650872</v>
      </c>
      <c r="U13" s="1">
        <v>199.99998396796005</v>
      </c>
      <c r="V13" s="1">
        <v>193.33331815485587</v>
      </c>
      <c r="W13" s="1">
        <v>186.6666523847768</v>
      </c>
      <c r="X13" s="1">
        <v>179.99998665518126</v>
      </c>
      <c r="Y13" s="1">
        <v>173.33332096341309</v>
      </c>
      <c r="Z13" s="1">
        <v>166.66665530670878</v>
      </c>
      <c r="AA13" s="1">
        <v>159.9999896822055</v>
      </c>
      <c r="AB13" s="1">
        <v>153.33332408694912</v>
      </c>
      <c r="AC13" s="1">
        <v>146.66665851790265</v>
      </c>
      <c r="AD13" s="1">
        <v>139.99999297195473</v>
      </c>
      <c r="AE13" s="1">
        <v>133.33332744592857</v>
      </c>
      <c r="AF13" s="1">
        <v>126.66666193659087</v>
      </c>
      <c r="AG13" s="1">
        <v>119.99999644066111</v>
      </c>
      <c r="AH13" s="1">
        <v>113.3333309548207</v>
      </c>
      <c r="AI13" s="1">
        <v>106.66666547572241</v>
      </c>
      <c r="AJ13" s="1">
        <f>C13</f>
        <v>100</v>
      </c>
    </row>
    <row r="15" spans="2:36" x14ac:dyDescent="0.3">
      <c r="E15" t="s">
        <v>9</v>
      </c>
      <c r="G15">
        <f>G13+(($C$10*$C$5)/($C$9*$C$8))*((H13-2*G13+F13)/($C$4^2))</f>
        <v>293.33331099612423</v>
      </c>
      <c r="H15">
        <f t="shared" ref="H15:AI15" si="1">H13+(($C$10*$C$5)/($C$9*$C$8))*((I13-2*H13+G13)/($C$4^2))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2:36" x14ac:dyDescent="0.3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5C4B9-6A33-406B-ABA2-D7CC546046BD}">
  <dimension ref="B3:AJ16"/>
  <sheetViews>
    <sheetView tabSelected="1" zoomScale="55" zoomScaleNormal="55" workbookViewId="0">
      <selection activeCell="F45" sqref="F45"/>
    </sheetView>
  </sheetViews>
  <sheetFormatPr defaultRowHeight="14.4" x14ac:dyDescent="0.3"/>
  <sheetData>
    <row r="3" spans="2:36" x14ac:dyDescent="0.3">
      <c r="B3" s="1" t="s">
        <v>0</v>
      </c>
      <c r="C3" s="1">
        <v>0.3</v>
      </c>
    </row>
    <row r="4" spans="2:36" x14ac:dyDescent="0.3">
      <c r="B4" s="1" t="s">
        <v>1</v>
      </c>
      <c r="C4" s="4">
        <f>C3/30</f>
        <v>0.01</v>
      </c>
    </row>
    <row r="5" spans="2:36" x14ac:dyDescent="0.3">
      <c r="B5" s="1" t="s">
        <v>2</v>
      </c>
      <c r="C5" s="4">
        <f>0.435</f>
        <v>0.435</v>
      </c>
    </row>
    <row r="6" spans="2:36" x14ac:dyDescent="0.3">
      <c r="B6" s="1" t="s">
        <v>3</v>
      </c>
      <c r="C6" s="1">
        <v>300</v>
      </c>
      <c r="D6">
        <v>300.14999999999998</v>
      </c>
    </row>
    <row r="8" spans="2:36" x14ac:dyDescent="0.3">
      <c r="B8" s="1" t="s">
        <v>4</v>
      </c>
      <c r="C8" s="1">
        <v>385</v>
      </c>
    </row>
    <row r="9" spans="2:36" x14ac:dyDescent="0.3">
      <c r="B9" s="1" t="s">
        <v>5</v>
      </c>
      <c r="C9" s="1">
        <v>8900</v>
      </c>
    </row>
    <row r="10" spans="2:36" x14ac:dyDescent="0.3">
      <c r="B10" s="1" t="s">
        <v>6</v>
      </c>
      <c r="C10" s="1">
        <v>394</v>
      </c>
    </row>
    <row r="11" spans="2:36" x14ac:dyDescent="0.3">
      <c r="B11" s="1" t="s">
        <v>12</v>
      </c>
      <c r="C11" s="1">
        <v>1000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13</v>
      </c>
      <c r="C12" s="1">
        <v>-30</v>
      </c>
      <c r="E12" t="s">
        <v>0</v>
      </c>
      <c r="F12" s="2">
        <v>0</v>
      </c>
      <c r="G12" s="2">
        <f>F12+$C$4</f>
        <v>0.01</v>
      </c>
      <c r="H12" s="2">
        <f t="shared" ref="H12:AJ12" si="0">G12+$C$4</f>
        <v>0.02</v>
      </c>
      <c r="I12" s="2">
        <f t="shared" si="0"/>
        <v>0.03</v>
      </c>
      <c r="J12" s="2">
        <f t="shared" si="0"/>
        <v>0.04</v>
      </c>
      <c r="K12" s="2">
        <f t="shared" si="0"/>
        <v>0.05</v>
      </c>
      <c r="L12" s="2">
        <f t="shared" si="0"/>
        <v>6.0000000000000005E-2</v>
      </c>
      <c r="M12" s="2">
        <f t="shared" si="0"/>
        <v>7.0000000000000007E-2</v>
      </c>
      <c r="N12" s="2">
        <f t="shared" si="0"/>
        <v>0.08</v>
      </c>
      <c r="O12" s="2">
        <f t="shared" si="0"/>
        <v>0.09</v>
      </c>
      <c r="P12" s="2">
        <f t="shared" si="0"/>
        <v>9.9999999999999992E-2</v>
      </c>
      <c r="Q12" s="2">
        <f t="shared" si="0"/>
        <v>0.10999999999999999</v>
      </c>
      <c r="R12" s="2">
        <f t="shared" si="0"/>
        <v>0.11999999999999998</v>
      </c>
      <c r="S12" s="2">
        <f t="shared" si="0"/>
        <v>0.12999999999999998</v>
      </c>
      <c r="T12" s="2">
        <f t="shared" si="0"/>
        <v>0.13999999999999999</v>
      </c>
      <c r="U12" s="2">
        <f t="shared" si="0"/>
        <v>0.15</v>
      </c>
      <c r="V12" s="2">
        <f t="shared" si="0"/>
        <v>0.16</v>
      </c>
      <c r="W12" s="2">
        <f t="shared" si="0"/>
        <v>0.17</v>
      </c>
      <c r="X12" s="2">
        <f t="shared" si="0"/>
        <v>0.18000000000000002</v>
      </c>
      <c r="Y12" s="2">
        <f t="shared" si="0"/>
        <v>0.19000000000000003</v>
      </c>
      <c r="Z12" s="2">
        <f t="shared" si="0"/>
        <v>0.20000000000000004</v>
      </c>
      <c r="AA12" s="2">
        <f t="shared" si="0"/>
        <v>0.21000000000000005</v>
      </c>
      <c r="AB12" s="2">
        <f t="shared" si="0"/>
        <v>0.22000000000000006</v>
      </c>
      <c r="AC12" s="2">
        <f t="shared" si="0"/>
        <v>0.23000000000000007</v>
      </c>
      <c r="AD12" s="2">
        <f t="shared" si="0"/>
        <v>0.24000000000000007</v>
      </c>
      <c r="AE12" s="2">
        <f t="shared" si="0"/>
        <v>0.25000000000000006</v>
      </c>
      <c r="AF12" s="2">
        <f t="shared" si="0"/>
        <v>0.26000000000000006</v>
      </c>
      <c r="AG12" s="2">
        <f t="shared" si="0"/>
        <v>0.27000000000000007</v>
      </c>
      <c r="AH12" s="2">
        <f t="shared" si="0"/>
        <v>0.28000000000000008</v>
      </c>
      <c r="AI12" s="2">
        <f t="shared" si="0"/>
        <v>0.29000000000000009</v>
      </c>
      <c r="AJ12" s="2">
        <f t="shared" si="0"/>
        <v>0.3000000000000001</v>
      </c>
    </row>
    <row r="13" spans="2:36" x14ac:dyDescent="0.3">
      <c r="E13" t="s">
        <v>7</v>
      </c>
      <c r="F13" s="5">
        <f>1/(C10+C11*C4)*(C10*G13+C11*C4*C12)</f>
        <v>-3.3198903546661596</v>
      </c>
      <c r="G13" s="5">
        <v>-2.6427302113835749</v>
      </c>
      <c r="H13" s="5">
        <v>-1.9578043538461209</v>
      </c>
      <c r="I13" s="5">
        <v>-1.2659726749563442</v>
      </c>
      <c r="J13" s="5">
        <v>-0.56510352200997682</v>
      </c>
      <c r="K13" s="5">
        <v>0.14190817412735265</v>
      </c>
      <c r="L13" s="5">
        <v>0.85904055485646391</v>
      </c>
      <c r="M13" s="5">
        <v>1.5814967853173161</v>
      </c>
      <c r="N13" s="5">
        <v>2.3149231866588762</v>
      </c>
      <c r="O13" s="5">
        <v>3.0528380950287768</v>
      </c>
      <c r="P13" s="5">
        <v>3.802300375106201</v>
      </c>
      <c r="Q13" s="5">
        <v>4.5554347524541621</v>
      </c>
      <c r="R13" s="5">
        <v>5.3203912416619605</v>
      </c>
      <c r="S13" s="5">
        <v>6.0882532111102261</v>
      </c>
      <c r="T13" s="5">
        <v>6.8678892515759502</v>
      </c>
      <c r="U13" s="5">
        <v>7.6497388324564835</v>
      </c>
      <c r="V13" s="5">
        <v>8.4429822906561895</v>
      </c>
      <c r="W13" s="5">
        <v>9.2378400186967973</v>
      </c>
      <c r="X13" s="5">
        <v>10.043381515637142</v>
      </c>
      <c r="Y13" s="5">
        <v>10.85004123301778</v>
      </c>
      <c r="Z13" s="5">
        <v>11.666358735503774</v>
      </c>
      <c r="AA13" s="5">
        <v>12.483404579971081</v>
      </c>
      <c r="AB13" s="5">
        <v>13.308791894295558</v>
      </c>
      <c r="AC13" s="5">
        <v>14.134619413000284</v>
      </c>
      <c r="AD13" s="5">
        <v>14.967218023467515</v>
      </c>
      <c r="AE13" s="5">
        <v>15.800059219894786</v>
      </c>
      <c r="AF13" s="5">
        <v>16.637892824300415</v>
      </c>
      <c r="AG13" s="5">
        <v>17.475844822174786</v>
      </c>
      <c r="AH13" s="5">
        <v>18.316855840406969</v>
      </c>
      <c r="AI13" s="5">
        <v>19.157912724245246</v>
      </c>
      <c r="AJ13" s="5">
        <f>C15</f>
        <v>20</v>
      </c>
    </row>
    <row r="14" spans="2:36" x14ac:dyDescent="0.3"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</row>
    <row r="15" spans="2:36" x14ac:dyDescent="0.3">
      <c r="B15" s="1" t="s">
        <v>14</v>
      </c>
      <c r="C15" s="1">
        <v>20</v>
      </c>
      <c r="E15" t="s">
        <v>9</v>
      </c>
      <c r="F15" s="6"/>
      <c r="G15" s="6">
        <f>G13+(($C$10*$C$5)/($C$9*$C$8))*((H13-2*G13+F13)/($C$4^2))</f>
        <v>-2.6388458811161239</v>
      </c>
      <c r="H15" s="6">
        <f t="shared" ref="H15:AI15" si="1">H13+(($C$10*$C$5)/($C$9*$C$8))*((I13-2*H13+G13)/($C$4^2))</f>
        <v>-1.9543501331498576</v>
      </c>
      <c r="I15" s="6">
        <f t="shared" si="1"/>
        <v>-1.2614522235378149</v>
      </c>
      <c r="J15" s="6">
        <f t="shared" si="1"/>
        <v>-0.56203108518669065</v>
      </c>
      <c r="K15" s="6">
        <f t="shared" si="1"/>
        <v>0.14697043629628734</v>
      </c>
      <c r="L15" s="6">
        <f t="shared" si="1"/>
        <v>0.86170348964567467</v>
      </c>
      <c r="M15" s="6">
        <f t="shared" si="1"/>
        <v>1.586983951776515</v>
      </c>
      <c r="N15" s="6">
        <f t="shared" si="1"/>
        <v>2.3171682916335947</v>
      </c>
      <c r="O15" s="6">
        <f t="shared" si="1"/>
        <v>3.058613971395193</v>
      </c>
      <c r="P15" s="6">
        <f t="shared" si="1"/>
        <v>3.8041371203307661</v>
      </c>
      <c r="Q15" s="6">
        <f t="shared" si="1"/>
        <v>4.5613480510143765</v>
      </c>
      <c r="R15" s="6">
        <f t="shared" si="1"/>
        <v>5.3218445329458177</v>
      </c>
      <c r="S15" s="6">
        <f t="shared" si="1"/>
        <v>6.0941424801360027</v>
      </c>
      <c r="T15" s="6">
        <f t="shared" si="1"/>
        <v>6.8689964416874174</v>
      </c>
      <c r="U15" s="6">
        <f t="shared" si="1"/>
        <v>7.6554379325111546</v>
      </c>
      <c r="V15" s="6">
        <f t="shared" si="1"/>
        <v>8.4437897318003081</v>
      </c>
      <c r="W15" s="6">
        <f t="shared" si="1"/>
        <v>9.2431839298356451</v>
      </c>
      <c r="X15" s="6">
        <f t="shared" si="1"/>
        <v>10.043940837981406</v>
      </c>
      <c r="Y15" s="6">
        <f t="shared" si="1"/>
        <v>10.854871957632422</v>
      </c>
      <c r="Z15" s="6">
        <f t="shared" si="1"/>
        <v>11.666723044659406</v>
      </c>
      <c r="AA15" s="6">
        <f t="shared" si="1"/>
        <v>12.487576897259336</v>
      </c>
      <c r="AB15" s="6">
        <f t="shared" si="1"/>
        <v>13.309012079991547</v>
      </c>
      <c r="AC15" s="6">
        <f t="shared" si="1"/>
        <v>14.138006243343712</v>
      </c>
      <c r="AD15" s="6">
        <f t="shared" si="1"/>
        <v>14.967339362465593</v>
      </c>
      <c r="AE15" s="6">
        <f t="shared" si="1"/>
        <v>15.802556370933488</v>
      </c>
      <c r="AF15" s="6">
        <f t="shared" si="1"/>
        <v>16.637952043493783</v>
      </c>
      <c r="AG15" s="6">
        <f t="shared" si="1"/>
        <v>17.477374912643562</v>
      </c>
      <c r="AH15" s="6">
        <f t="shared" si="1"/>
        <v>18.316878781910628</v>
      </c>
      <c r="AI15" s="6">
        <f t="shared" si="1"/>
        <v>19.158428115666712</v>
      </c>
      <c r="AJ15" s="6"/>
    </row>
    <row r="16" spans="2:36" x14ac:dyDescent="0.3">
      <c r="G16" s="6"/>
      <c r="H16" s="6"/>
      <c r="I16" s="6"/>
      <c r="J16" s="6"/>
      <c r="K16" s="6"/>
      <c r="AJ16" s="6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</vt:lpstr>
      <vt:lpstr>ГУ 2</vt:lpstr>
      <vt:lpstr>ГУ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2021-09-15T19:01:36Z</dcterms:created>
  <dcterms:modified xsi:type="dcterms:W3CDTF">2021-10-11T15:58:59Z</dcterms:modified>
</cp:coreProperties>
</file>