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aA\Desktop\"/>
    </mc:Choice>
  </mc:AlternateContent>
  <xr:revisionPtr revIDLastSave="0" documentId="13_ncr:1_{741B335D-FB7A-42C0-A72C-0DCCD507891B}" xr6:coauthVersionLast="47" xr6:coauthVersionMax="47" xr10:uidLastSave="{00000000-0000-0000-0000-000000000000}"/>
  <bookViews>
    <workbookView xWindow="-120" yWindow="-120" windowWidth="29040" windowHeight="16440" xr2:uid="{96DCAE49-909B-4736-AC5D-79C28B5B1B6C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3" i="1" l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X23" i="1"/>
  <c r="Z22" i="1"/>
  <c r="AA22" i="1"/>
  <c r="AB22" i="1"/>
  <c r="AC22" i="1"/>
  <c r="AD22" i="1" s="1"/>
  <c r="AE22" i="1" s="1"/>
  <c r="AF22" i="1" s="1"/>
  <c r="AG22" i="1" s="1"/>
  <c r="AH22" i="1" s="1"/>
  <c r="AI22" i="1" s="1"/>
  <c r="AJ22" i="1" s="1"/>
  <c r="AK22" i="1" s="1"/>
  <c r="AL22" i="1" s="1"/>
  <c r="Y22" i="1"/>
  <c r="X22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X21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X20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X19" i="1"/>
  <c r="Z17" i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K17" i="1" s="1"/>
  <c r="AL17" i="1" s="1"/>
  <c r="Y17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X16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X12" i="1"/>
  <c r="Z11" i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K11" i="1" s="1"/>
  <c r="AL11" i="1" s="1"/>
  <c r="Y11" i="1"/>
  <c r="X11" i="1"/>
  <c r="AL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X10" i="1"/>
  <c r="AH9" i="1"/>
  <c r="AI9" i="1"/>
  <c r="AJ9" i="1"/>
  <c r="AK9" i="1"/>
  <c r="AL9" i="1"/>
  <c r="AG9" i="1"/>
  <c r="AF9" i="1"/>
  <c r="AE9" i="1"/>
  <c r="AD9" i="1"/>
  <c r="AC9" i="1"/>
  <c r="Y9" i="1"/>
  <c r="Z9" i="1"/>
  <c r="AA9" i="1"/>
  <c r="AB9" i="1"/>
  <c r="X9" i="1"/>
  <c r="AH8" i="1"/>
  <c r="AI8" i="1"/>
  <c r="AJ8" i="1"/>
  <c r="AK8" i="1"/>
  <c r="AL8" i="1"/>
  <c r="AG8" i="1"/>
  <c r="AF8" i="1"/>
  <c r="AE8" i="1"/>
  <c r="AD8" i="1"/>
  <c r="AC8" i="1"/>
  <c r="Y8" i="1"/>
  <c r="Z8" i="1"/>
  <c r="AA8" i="1"/>
  <c r="AB8" i="1"/>
  <c r="X8" i="1"/>
  <c r="Z6" i="1"/>
  <c r="AA6" i="1" s="1"/>
  <c r="AB6" i="1" s="1"/>
  <c r="AC6" i="1" s="1"/>
  <c r="AD6" i="1" s="1"/>
  <c r="AE6" i="1" s="1"/>
  <c r="AF6" i="1" s="1"/>
  <c r="AG6" i="1" s="1"/>
  <c r="AH6" i="1" s="1"/>
  <c r="AI6" i="1" s="1"/>
  <c r="AJ6" i="1" s="1"/>
  <c r="AK6" i="1" s="1"/>
  <c r="AL6" i="1" s="1"/>
  <c r="Y6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K62" i="1"/>
  <c r="L62" i="1"/>
  <c r="M62" i="1"/>
  <c r="N62" i="1"/>
  <c r="O62" i="1"/>
  <c r="P62" i="1"/>
  <c r="Q62" i="1"/>
  <c r="R62" i="1"/>
  <c r="S62" i="1"/>
  <c r="L63" i="1"/>
  <c r="M63" i="1"/>
  <c r="N63" i="1"/>
  <c r="O63" i="1"/>
  <c r="P63" i="1"/>
  <c r="Q63" i="1"/>
  <c r="R63" i="1"/>
  <c r="S63" i="1"/>
  <c r="M64" i="1"/>
  <c r="N64" i="1"/>
  <c r="O64" i="1"/>
  <c r="P64" i="1"/>
  <c r="Q64" i="1"/>
  <c r="R64" i="1"/>
  <c r="S64" i="1"/>
  <c r="N65" i="1"/>
  <c r="O65" i="1"/>
  <c r="P65" i="1"/>
  <c r="Q65" i="1"/>
  <c r="R65" i="1"/>
  <c r="S65" i="1"/>
  <c r="O66" i="1"/>
  <c r="P66" i="1"/>
  <c r="Q66" i="1"/>
  <c r="R66" i="1"/>
  <c r="S66" i="1"/>
  <c r="T57" i="1"/>
  <c r="T58" i="1"/>
  <c r="T59" i="1"/>
  <c r="T60" i="1"/>
  <c r="T61" i="1"/>
  <c r="T62" i="1"/>
  <c r="T63" i="1"/>
  <c r="T64" i="1"/>
  <c r="T65" i="1"/>
  <c r="T6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G56" i="1"/>
  <c r="F57" i="1"/>
  <c r="F58" i="1"/>
  <c r="F59" i="1"/>
  <c r="F60" i="1"/>
  <c r="F61" i="1"/>
  <c r="F56" i="1"/>
  <c r="G67" i="1"/>
  <c r="H67" i="1" s="1"/>
  <c r="I67" i="1" s="1"/>
  <c r="J67" i="1" s="1"/>
  <c r="K67" i="1" s="1"/>
  <c r="L67" i="1" s="1"/>
  <c r="M67" i="1" s="1"/>
  <c r="N67" i="1" s="1"/>
  <c r="O67" i="1" s="1"/>
  <c r="P67" i="1" s="1"/>
  <c r="Q67" i="1" s="1"/>
  <c r="R67" i="1" s="1"/>
  <c r="S67" i="1" s="1"/>
  <c r="T67" i="1" s="1"/>
  <c r="E65" i="1"/>
  <c r="E64" i="1" s="1"/>
  <c r="E63" i="1" s="1"/>
  <c r="E62" i="1" s="1"/>
  <c r="E61" i="1" s="1"/>
  <c r="E60" i="1" s="1"/>
  <c r="E59" i="1" s="1"/>
  <c r="E58" i="1" s="1"/>
  <c r="E57" i="1" s="1"/>
  <c r="E56" i="1" s="1"/>
  <c r="N49" i="1"/>
  <c r="N50" i="1"/>
  <c r="N51" i="1"/>
  <c r="M50" i="1"/>
  <c r="M49" i="1"/>
  <c r="L49" i="1"/>
  <c r="O49" i="1"/>
  <c r="P49" i="1"/>
  <c r="Q49" i="1"/>
  <c r="R49" i="1"/>
  <c r="O50" i="1"/>
  <c r="P50" i="1"/>
  <c r="Q50" i="1"/>
  <c r="R50" i="1"/>
  <c r="O51" i="1"/>
  <c r="P51" i="1"/>
  <c r="Q51" i="1"/>
  <c r="R51" i="1"/>
  <c r="O52" i="1"/>
  <c r="P52" i="1"/>
  <c r="Q52" i="1"/>
  <c r="R52" i="1"/>
  <c r="O53" i="1"/>
  <c r="P53" i="1"/>
  <c r="Q53" i="1"/>
  <c r="R53" i="1"/>
  <c r="S49" i="1"/>
  <c r="S50" i="1"/>
  <c r="S51" i="1"/>
  <c r="S52" i="1"/>
  <c r="S53" i="1"/>
  <c r="N52" i="1"/>
  <c r="M51" i="1"/>
  <c r="L50" i="1"/>
  <c r="K49" i="1"/>
  <c r="T44" i="1"/>
  <c r="T45" i="1"/>
  <c r="T46" i="1"/>
  <c r="T47" i="1"/>
  <c r="T48" i="1"/>
  <c r="T49" i="1"/>
  <c r="T50" i="1"/>
  <c r="T51" i="1"/>
  <c r="T52" i="1"/>
  <c r="T53" i="1"/>
  <c r="H44" i="1"/>
  <c r="I44" i="1"/>
  <c r="J44" i="1"/>
  <c r="K44" i="1"/>
  <c r="L44" i="1"/>
  <c r="M44" i="1"/>
  <c r="N44" i="1"/>
  <c r="O44" i="1"/>
  <c r="P44" i="1"/>
  <c r="Q44" i="1"/>
  <c r="R44" i="1"/>
  <c r="S44" i="1"/>
  <c r="H45" i="1"/>
  <c r="I45" i="1"/>
  <c r="J45" i="1"/>
  <c r="K45" i="1"/>
  <c r="L45" i="1"/>
  <c r="M45" i="1"/>
  <c r="N45" i="1"/>
  <c r="O45" i="1"/>
  <c r="P45" i="1"/>
  <c r="Q45" i="1"/>
  <c r="R45" i="1"/>
  <c r="S45" i="1"/>
  <c r="H46" i="1"/>
  <c r="I46" i="1"/>
  <c r="J46" i="1"/>
  <c r="K46" i="1"/>
  <c r="L46" i="1"/>
  <c r="M46" i="1"/>
  <c r="N46" i="1"/>
  <c r="O46" i="1"/>
  <c r="P46" i="1"/>
  <c r="Q46" i="1"/>
  <c r="R46" i="1"/>
  <c r="S46" i="1"/>
  <c r="H47" i="1"/>
  <c r="I47" i="1"/>
  <c r="J47" i="1"/>
  <c r="K47" i="1"/>
  <c r="L47" i="1"/>
  <c r="M47" i="1"/>
  <c r="N47" i="1"/>
  <c r="O47" i="1"/>
  <c r="P47" i="1"/>
  <c r="Q47" i="1"/>
  <c r="R47" i="1"/>
  <c r="S47" i="1"/>
  <c r="H48" i="1"/>
  <c r="I48" i="1"/>
  <c r="J48" i="1"/>
  <c r="K48" i="1"/>
  <c r="L48" i="1"/>
  <c r="M48" i="1"/>
  <c r="N48" i="1"/>
  <c r="O48" i="1"/>
  <c r="P48" i="1"/>
  <c r="Q48" i="1"/>
  <c r="R48" i="1"/>
  <c r="S48" i="1"/>
  <c r="G45" i="1"/>
  <c r="G46" i="1"/>
  <c r="G47" i="1"/>
  <c r="G48" i="1"/>
  <c r="H43" i="1"/>
  <c r="I43" i="1"/>
  <c r="J43" i="1"/>
  <c r="K43" i="1"/>
  <c r="L43" i="1"/>
  <c r="M43" i="1"/>
  <c r="N43" i="1"/>
  <c r="O43" i="1"/>
  <c r="P43" i="1"/>
  <c r="Q43" i="1"/>
  <c r="R43" i="1"/>
  <c r="S43" i="1"/>
  <c r="G43" i="1"/>
  <c r="G44" i="1"/>
  <c r="T43" i="1"/>
  <c r="F44" i="1"/>
  <c r="F45" i="1"/>
  <c r="F46" i="1"/>
  <c r="F47" i="1"/>
  <c r="F48" i="1"/>
  <c r="F43" i="1"/>
  <c r="G54" i="1"/>
  <c r="H54" i="1" s="1"/>
  <c r="I54" i="1" s="1"/>
  <c r="J54" i="1" s="1"/>
  <c r="K54" i="1" s="1"/>
  <c r="L54" i="1" s="1"/>
  <c r="M54" i="1" s="1"/>
  <c r="N54" i="1" s="1"/>
  <c r="O54" i="1" s="1"/>
  <c r="P54" i="1" s="1"/>
  <c r="Q54" i="1" s="1"/>
  <c r="R54" i="1" s="1"/>
  <c r="S54" i="1" s="1"/>
  <c r="T54" i="1" s="1"/>
  <c r="E52" i="1"/>
  <c r="E51" i="1"/>
  <c r="E50" i="1"/>
  <c r="E49" i="1"/>
  <c r="E48" i="1" s="1"/>
  <c r="E47" i="1" s="1"/>
  <c r="E46" i="1" s="1"/>
  <c r="E45" i="1" s="1"/>
  <c r="E44" i="1" s="1"/>
  <c r="E43" i="1" s="1"/>
  <c r="T31" i="1"/>
  <c r="T32" i="1"/>
  <c r="T33" i="1"/>
  <c r="T34" i="1"/>
  <c r="T35" i="1"/>
  <c r="T36" i="1"/>
  <c r="T37" i="1"/>
  <c r="T38" i="1"/>
  <c r="T39" i="1"/>
  <c r="T40" i="1"/>
  <c r="T30" i="1"/>
  <c r="P40" i="1"/>
  <c r="Q40" i="1"/>
  <c r="R40" i="1"/>
  <c r="S40" i="1"/>
  <c r="O35" i="1"/>
  <c r="P35" i="1"/>
  <c r="Q35" i="1"/>
  <c r="R35" i="1"/>
  <c r="S35" i="1"/>
  <c r="O36" i="1"/>
  <c r="P36" i="1"/>
  <c r="Q36" i="1"/>
  <c r="R36" i="1"/>
  <c r="S36" i="1"/>
  <c r="O37" i="1"/>
  <c r="P37" i="1"/>
  <c r="Q37" i="1"/>
  <c r="R37" i="1"/>
  <c r="S37" i="1"/>
  <c r="O38" i="1"/>
  <c r="P38" i="1"/>
  <c r="Q38" i="1"/>
  <c r="R38" i="1"/>
  <c r="S38" i="1"/>
  <c r="O39" i="1"/>
  <c r="P39" i="1"/>
  <c r="Q39" i="1"/>
  <c r="R39" i="1"/>
  <c r="S39" i="1"/>
  <c r="N35" i="1"/>
  <c r="N36" i="1"/>
  <c r="N37" i="1"/>
  <c r="N38" i="1"/>
  <c r="M35" i="1"/>
  <c r="M36" i="1"/>
  <c r="M37" i="1"/>
  <c r="O40" i="1"/>
  <c r="N39" i="1"/>
  <c r="M38" i="1"/>
  <c r="L37" i="1"/>
  <c r="L35" i="1"/>
  <c r="L36" i="1"/>
  <c r="K35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G35" i="1"/>
  <c r="H35" i="1"/>
  <c r="I35" i="1"/>
  <c r="J35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K36" i="1"/>
  <c r="F35" i="1"/>
  <c r="F32" i="1"/>
  <c r="F33" i="1"/>
  <c r="F34" i="1"/>
  <c r="F31" i="1"/>
  <c r="F30" i="1"/>
  <c r="G41" i="1"/>
  <c r="H41" i="1" s="1"/>
  <c r="I41" i="1" s="1"/>
  <c r="J41" i="1" s="1"/>
  <c r="K41" i="1" s="1"/>
  <c r="L41" i="1" s="1"/>
  <c r="M41" i="1" s="1"/>
  <c r="N41" i="1" s="1"/>
  <c r="O41" i="1" s="1"/>
  <c r="P41" i="1" s="1"/>
  <c r="Q41" i="1" s="1"/>
  <c r="R41" i="1" s="1"/>
  <c r="S41" i="1" s="1"/>
  <c r="T41" i="1" s="1"/>
  <c r="E39" i="1"/>
  <c r="E38" i="1"/>
  <c r="E37" i="1"/>
  <c r="E36" i="1"/>
  <c r="E35" i="1" s="1"/>
  <c r="E34" i="1" s="1"/>
  <c r="E33" i="1" s="1"/>
  <c r="E32" i="1" s="1"/>
  <c r="E31" i="1" s="1"/>
  <c r="E30" i="1" s="1"/>
  <c r="T28" i="1" l="1"/>
  <c r="G8" i="1"/>
  <c r="I28" i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H28" i="1"/>
  <c r="G28" i="1"/>
  <c r="I5" i="1"/>
  <c r="J5" i="1"/>
  <c r="M5" i="1"/>
  <c r="P5" i="1"/>
  <c r="Q5" i="1"/>
  <c r="E26" i="1"/>
  <c r="E25" i="1" s="1"/>
  <c r="E24" i="1" s="1"/>
  <c r="E23" i="1" s="1"/>
  <c r="E22" i="1" s="1"/>
  <c r="E21" i="1" s="1"/>
  <c r="E20" i="1" s="1"/>
  <c r="E19" i="1" s="1"/>
  <c r="E18" i="1" s="1"/>
  <c r="E17" i="1" s="1"/>
  <c r="N6" i="1"/>
  <c r="N7" i="1"/>
  <c r="N8" i="1"/>
  <c r="N9" i="1"/>
  <c r="N10" i="1"/>
  <c r="N11" i="1"/>
  <c r="N12" i="1"/>
  <c r="M6" i="1"/>
  <c r="M7" i="1"/>
  <c r="M8" i="1"/>
  <c r="M9" i="1"/>
  <c r="M10" i="1"/>
  <c r="M11" i="1"/>
  <c r="L10" i="1"/>
  <c r="L9" i="1"/>
  <c r="L8" i="1"/>
  <c r="L7" i="1"/>
  <c r="L6" i="1"/>
  <c r="K9" i="1"/>
  <c r="K8" i="1"/>
  <c r="K7" i="1"/>
  <c r="K6" i="1"/>
  <c r="J8" i="1"/>
  <c r="I8" i="1"/>
  <c r="H8" i="1"/>
  <c r="J7" i="1"/>
  <c r="I7" i="1"/>
  <c r="H7" i="1"/>
  <c r="J6" i="1"/>
  <c r="I6" i="1"/>
  <c r="H6" i="1"/>
  <c r="O6" i="1"/>
  <c r="P6" i="1"/>
  <c r="Q6" i="1"/>
  <c r="R6" i="1"/>
  <c r="O7" i="1"/>
  <c r="P7" i="1"/>
  <c r="Q7" i="1"/>
  <c r="R7" i="1"/>
  <c r="O8" i="1"/>
  <c r="P8" i="1"/>
  <c r="Q8" i="1"/>
  <c r="R8" i="1"/>
  <c r="O9" i="1"/>
  <c r="P9" i="1"/>
  <c r="Q9" i="1"/>
  <c r="R9" i="1"/>
  <c r="O10" i="1"/>
  <c r="P10" i="1"/>
  <c r="Q10" i="1"/>
  <c r="R10" i="1"/>
  <c r="O11" i="1"/>
  <c r="P11" i="1"/>
  <c r="Q11" i="1"/>
  <c r="R11" i="1"/>
  <c r="O12" i="1"/>
  <c r="P12" i="1"/>
  <c r="Q12" i="1"/>
  <c r="R12" i="1"/>
  <c r="O13" i="1"/>
  <c r="P13" i="1"/>
  <c r="Q13" i="1"/>
  <c r="R13" i="1"/>
  <c r="S13" i="1"/>
  <c r="H5" i="1"/>
  <c r="K5" i="1"/>
  <c r="L5" i="1"/>
  <c r="N5" i="1"/>
  <c r="O5" i="1"/>
  <c r="R5" i="1"/>
  <c r="G6" i="1"/>
  <c r="G7" i="1"/>
  <c r="G5" i="1"/>
  <c r="F7" i="1"/>
  <c r="F6" i="1" s="1"/>
  <c r="F5" i="1" s="1"/>
  <c r="F8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F4" i="1"/>
  <c r="G15" i="1"/>
  <c r="H15" i="1" s="1"/>
  <c r="I15" i="1" s="1"/>
  <c r="J15" i="1" s="1"/>
  <c r="K15" i="1" s="1"/>
  <c r="L15" i="1" s="1"/>
  <c r="M15" i="1" s="1"/>
  <c r="N15" i="1" s="1"/>
  <c r="O15" i="1" s="1"/>
  <c r="P15" i="1" s="1"/>
  <c r="Q15" i="1" s="1"/>
  <c r="R15" i="1" s="1"/>
  <c r="S15" i="1" s="1"/>
  <c r="T15" i="1" s="1"/>
  <c r="F15" i="1"/>
  <c r="E12" i="1"/>
  <c r="E11" i="1" s="1"/>
  <c r="E10" i="1" s="1"/>
  <c r="E9" i="1" s="1"/>
  <c r="E8" i="1" s="1"/>
  <c r="E7" i="1" s="1"/>
  <c r="E6" i="1" s="1"/>
  <c r="E5" i="1" s="1"/>
  <c r="E4" i="1" s="1"/>
  <c r="E13" i="1"/>
  <c r="E14" i="1"/>
  <c r="S12" i="1" l="1"/>
  <c r="B6" i="1"/>
  <c r="T13" i="1" s="1"/>
  <c r="T12" i="1" s="1"/>
  <c r="T11" i="1" s="1"/>
  <c r="T10" i="1" s="1"/>
  <c r="T9" i="1" s="1"/>
  <c r="T8" i="1" s="1"/>
  <c r="T7" i="1" s="1"/>
  <c r="T6" i="1" s="1"/>
  <c r="T5" i="1" s="1"/>
  <c r="S11" i="1" l="1"/>
  <c r="S10" i="1" l="1"/>
  <c r="S9" i="1" l="1"/>
  <c r="S8" i="1" l="1"/>
  <c r="S7" i="1" l="1"/>
  <c r="S5" i="1" l="1"/>
  <c r="S6" i="1"/>
</calcChain>
</file>

<file path=xl/sharedStrings.xml><?xml version="1.0" encoding="utf-8"?>
<sst xmlns="http://schemas.openxmlformats.org/spreadsheetml/2006/main" count="30" uniqueCount="17">
  <si>
    <t>dx=dy</t>
  </si>
  <si>
    <t>V_in</t>
  </si>
  <si>
    <t>p_in</t>
  </si>
  <si>
    <t>V_out</t>
  </si>
  <si>
    <t>n_iter</t>
  </si>
  <si>
    <t>N_L</t>
  </si>
  <si>
    <t>N_H</t>
  </si>
  <si>
    <t>start_row</t>
  </si>
  <si>
    <t>start_Column</t>
  </si>
  <si>
    <t>ψ</t>
  </si>
  <si>
    <t>x</t>
  </si>
  <si>
    <t>U</t>
  </si>
  <si>
    <t>V</t>
  </si>
  <si>
    <t>Vel</t>
  </si>
  <si>
    <t>y</t>
  </si>
  <si>
    <t>p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</si>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</sst>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2" fontId="0" fillId="0" borderId="0" xfId="0" applyNumberFormat="1"/>
    <xf numFmtId="2" fontId="0" fillId="3" borderId="0" xfId="0" applyNumberFormat="1" applyFill="1"/>
    <xf numFmtId="0" fontId="0" fillId="3" borderId="0" xfId="0" applyFill="1"/>
    <xf numFmtId="2" fontId="0" fillId="0" borderId="1" xfId="0" applyNumberFormat="1" applyBorder="1"/>
    <xf numFmtId="0" fontId="0" fillId="4" borderId="1" xfId="0" applyFill="1" applyBorder="1"/>
    <xf numFmtId="0" fontId="0" fillId="4" borderId="0" xfId="0" applyFill="1"/>
    <xf numFmtId="2" fontId="0" fillId="5" borderId="1" xfId="0" applyNumberFormat="1" applyFill="1" applyBorder="1"/>
    <xf numFmtId="2" fontId="0" fillId="2" borderId="1" xfId="0" applyNumberFormat="1" applyFill="1" applyBorder="1"/>
    <xf numFmtId="0" fontId="0" fillId="6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Нижняя стенка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Лист1!$F$15:$T$15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Лист1!$X$12:$AL$12</c:f>
              <c:numCache>
                <c:formatCode>0.00</c:formatCode>
                <c:ptCount val="15"/>
                <c:pt idx="0">
                  <c:v>0</c:v>
                </c:pt>
                <c:pt idx="1">
                  <c:v>-3.5737079543177973E-2</c:v>
                </c:pt>
                <c:pt idx="2">
                  <c:v>-9.1033935117884546E-2</c:v>
                </c:pt>
                <c:pt idx="3">
                  <c:v>-0.20357091388403206</c:v>
                </c:pt>
                <c:pt idx="4">
                  <c:v>-0.59334650293458258</c:v>
                </c:pt>
                <c:pt idx="5">
                  <c:v>0.30864062399283282</c:v>
                </c:pt>
                <c:pt idx="6">
                  <c:v>0.58970057763275685</c:v>
                </c:pt>
                <c:pt idx="7">
                  <c:v>0.741844166778028</c:v>
                </c:pt>
                <c:pt idx="8">
                  <c:v>0.85363227259251284</c:v>
                </c:pt>
                <c:pt idx="9">
                  <c:v>0.95233497357927266</c:v>
                </c:pt>
                <c:pt idx="10">
                  <c:v>0.89241445309598932</c:v>
                </c:pt>
                <c:pt idx="11">
                  <c:v>0.84549092454952191</c:v>
                </c:pt>
                <c:pt idx="12">
                  <c:v>0.8089151126742945</c:v>
                </c:pt>
                <c:pt idx="13">
                  <c:v>0.77836961012450046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9A-45E9-A05F-3917E52B466F}"/>
            </c:ext>
          </c:extLst>
        </c:ser>
        <c:ser>
          <c:idx val="1"/>
          <c:order val="1"/>
          <c:tx>
            <c:v>Верхняя стенка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Лист1!$F$15:$T$15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Лист1!$X$23:$AL$23</c:f>
              <c:numCache>
                <c:formatCode>0.00</c:formatCode>
                <c:ptCount val="15"/>
                <c:pt idx="0">
                  <c:v>0</c:v>
                </c:pt>
                <c:pt idx="1">
                  <c:v>2.8143790863105096E-2</c:v>
                </c:pt>
                <c:pt idx="2">
                  <c:v>6.3816184289462397E-2</c:v>
                </c:pt>
                <c:pt idx="3">
                  <c:v>0.11458769199758535</c:v>
                </c:pt>
                <c:pt idx="4">
                  <c:v>0.18568973290210125</c:v>
                </c:pt>
                <c:pt idx="5">
                  <c:v>0.27485147317085645</c:v>
                </c:pt>
                <c:pt idx="6">
                  <c:v>0.36820606895227681</c:v>
                </c:pt>
                <c:pt idx="7">
                  <c:v>0.45398915106925414</c:v>
                </c:pt>
                <c:pt idx="8">
                  <c:v>0.52678678288968517</c:v>
                </c:pt>
                <c:pt idx="9">
                  <c:v>0.5859118426169152</c:v>
                </c:pt>
                <c:pt idx="10">
                  <c:v>0.63302380174660355</c:v>
                </c:pt>
                <c:pt idx="11">
                  <c:v>0.67058626124897269</c:v>
                </c:pt>
                <c:pt idx="12">
                  <c:v>0.70112116748932751</c:v>
                </c:pt>
                <c:pt idx="13">
                  <c:v>0.72692518853495125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9A-45E9-A05F-3917E52B466F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axId val="547335328"/>
        <c:axId val="547338608"/>
      </c:scatterChart>
      <c:valAx>
        <c:axId val="54733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7338608"/>
        <c:crosses val="autoZero"/>
        <c:crossBetween val="midCat"/>
      </c:valAx>
      <c:valAx>
        <c:axId val="54733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7335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489858</xdr:colOff>
      <xdr:row>24</xdr:row>
      <xdr:rowOff>122465</xdr:rowOff>
    </xdr:from>
    <xdr:to>
      <xdr:col>35</xdr:col>
      <xdr:colOff>17319</xdr:colOff>
      <xdr:row>44</xdr:row>
      <xdr:rowOff>86591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3C752F7-1BEA-4888-9580-23E1A7FA1B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33</xdr:col>
      <xdr:colOff>481692</xdr:colOff>
      <xdr:row>35</xdr:row>
      <xdr:rowOff>93890</xdr:rowOff>
    </xdr:from>
    <xdr:ext cx="776175" cy="33473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8E3DE37-4D2F-481E-8130-5BB0256B5B41}"/>
            </a:ext>
          </a:extLst>
        </xdr:cNvPr>
        <xdr:cNvSpPr txBox="1"/>
      </xdr:nvSpPr>
      <xdr:spPr>
        <a:xfrm>
          <a:off x="21512892" y="6761390"/>
          <a:ext cx="776175" cy="334736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800" b="1" i="0">
              <a:latin typeface="+mn-lt"/>
              <a:ea typeface="Cambria Math" panose="02040503050406030204" pitchFamily="18" charset="0"/>
            </a:rPr>
            <a:t>x, </a:t>
          </a:r>
          <a:r>
            <a:rPr lang="ru-RU" sz="1800" b="1" i="0">
              <a:latin typeface="+mn-lt"/>
              <a:ea typeface="Cambria Math" panose="02040503050406030204" pitchFamily="18" charset="0"/>
            </a:rPr>
            <a:t>м</a:t>
          </a:r>
        </a:p>
      </xdr:txBody>
    </xdr:sp>
    <xdr:clientData/>
  </xdr:oneCellAnchor>
  <xdr:oneCellAnchor>
    <xdr:from>
      <xdr:col>25</xdr:col>
      <xdr:colOff>502103</xdr:colOff>
      <xdr:row>25</xdr:row>
      <xdr:rowOff>8164</xdr:rowOff>
    </xdr:from>
    <xdr:ext cx="414922" cy="47761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A464F008-26EA-4611-8E04-35D53D3F909F}"/>
                </a:ext>
              </a:extLst>
            </xdr:cNvPr>
            <xdr:cNvSpPr txBox="1"/>
          </xdr:nvSpPr>
          <xdr:spPr>
            <a:xfrm>
              <a:off x="16123103" y="4770664"/>
              <a:ext cx="414922" cy="47761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800" b="1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8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  <m:sub>
                        <m:r>
                          <a:rPr lang="ru-RU" sz="1800" b="1" i="1">
                            <a:latin typeface="Cambria Math" panose="02040503050406030204" pitchFamily="18" charset="0"/>
                          </a:rPr>
                          <m:t>𝒑</m:t>
                        </m:r>
                      </m:sub>
                    </m:sSub>
                  </m:oMath>
                </m:oMathPara>
              </a14:m>
              <a:endParaRPr lang="ru-RU" sz="1800" b="1" i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A464F008-26EA-4611-8E04-35D53D3F909F}"/>
                </a:ext>
              </a:extLst>
            </xdr:cNvPr>
            <xdr:cNvSpPr txBox="1"/>
          </xdr:nvSpPr>
          <xdr:spPr>
            <a:xfrm>
              <a:off x="16123103" y="4770664"/>
              <a:ext cx="414922" cy="47761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ru-RU" sz="1800" b="1" i="0">
                  <a:latin typeface="Cambria Math" panose="02040503050406030204" pitchFamily="18" charset="0"/>
                </a:rPr>
                <a:t>𝑪</a:t>
              </a:r>
              <a:r>
                <a:rPr lang="ru-RU" sz="1800" b="1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800" b="1" i="0">
                  <a:latin typeface="Cambria Math" panose="02040503050406030204" pitchFamily="18" charset="0"/>
                </a:rPr>
                <a:t>𝒑</a:t>
              </a:r>
              <a:endParaRPr lang="ru-RU" sz="1800" b="1" i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5E52F-7CBA-483F-8993-8A8A5A794B99}">
  <sheetPr codeName="Лист1"/>
  <dimension ref="A1:AL67"/>
  <sheetViews>
    <sheetView tabSelected="1" zoomScale="55" zoomScaleNormal="55" workbookViewId="0">
      <selection activeCell="Z9" sqref="Z9"/>
    </sheetView>
  </sheetViews>
  <sheetFormatPr defaultRowHeight="15" x14ac:dyDescent="0.25"/>
  <cols>
    <col min="1" max="1" width="12.85546875" customWidth="1"/>
    <col min="24" max="38" width="10.140625" bestFit="1" customWidth="1"/>
  </cols>
  <sheetData>
    <row r="1" spans="1:38" x14ac:dyDescent="0.25">
      <c r="A1" s="1"/>
    </row>
    <row r="2" spans="1:38" x14ac:dyDescent="0.25">
      <c r="A2" s="2" t="s">
        <v>0</v>
      </c>
      <c r="B2" s="3">
        <v>0.2</v>
      </c>
    </row>
    <row r="3" spans="1:38" x14ac:dyDescent="0.25">
      <c r="A3" s="1"/>
      <c r="F3" s="6">
        <v>1</v>
      </c>
      <c r="G3" s="6">
        <v>2</v>
      </c>
      <c r="H3" s="6">
        <v>3</v>
      </c>
      <c r="I3" s="6">
        <v>4</v>
      </c>
      <c r="J3" s="6">
        <v>5</v>
      </c>
      <c r="K3" s="6">
        <v>6</v>
      </c>
      <c r="L3" s="6">
        <v>7</v>
      </c>
      <c r="M3" s="6">
        <v>8</v>
      </c>
      <c r="N3" s="6">
        <v>9</v>
      </c>
      <c r="O3" s="6">
        <v>10</v>
      </c>
      <c r="P3" s="6">
        <v>11</v>
      </c>
      <c r="Q3" s="6">
        <v>12</v>
      </c>
      <c r="R3" s="6">
        <v>13</v>
      </c>
      <c r="S3" s="6">
        <v>14</v>
      </c>
      <c r="T3" s="6">
        <v>15</v>
      </c>
    </row>
    <row r="4" spans="1:38" x14ac:dyDescent="0.25">
      <c r="A4" s="2" t="s">
        <v>1</v>
      </c>
      <c r="B4" s="3">
        <v>10</v>
      </c>
      <c r="D4" s="9" t="s">
        <v>9</v>
      </c>
      <c r="E4" s="5">
        <f t="shared" ref="E4:E12" si="0">E5+$B$2</f>
        <v>1.9999999999999998</v>
      </c>
      <c r="F4" s="8">
        <f>$B$4</f>
        <v>10</v>
      </c>
      <c r="G4" s="8">
        <f t="shared" ref="G4:T4" si="1">$B$4</f>
        <v>10</v>
      </c>
      <c r="H4" s="8">
        <f t="shared" si="1"/>
        <v>10</v>
      </c>
      <c r="I4" s="8">
        <f t="shared" si="1"/>
        <v>10</v>
      </c>
      <c r="J4" s="8">
        <f t="shared" si="1"/>
        <v>10</v>
      </c>
      <c r="K4" s="8">
        <f t="shared" si="1"/>
        <v>10</v>
      </c>
      <c r="L4" s="8">
        <f t="shared" si="1"/>
        <v>10</v>
      </c>
      <c r="M4" s="8">
        <f t="shared" si="1"/>
        <v>10</v>
      </c>
      <c r="N4" s="8">
        <f t="shared" si="1"/>
        <v>10</v>
      </c>
      <c r="O4" s="8">
        <f t="shared" si="1"/>
        <v>10</v>
      </c>
      <c r="P4" s="8">
        <f t="shared" si="1"/>
        <v>10</v>
      </c>
      <c r="Q4" s="8">
        <f t="shared" si="1"/>
        <v>10</v>
      </c>
      <c r="R4" s="8">
        <f t="shared" si="1"/>
        <v>10</v>
      </c>
      <c r="S4" s="8">
        <f t="shared" si="1"/>
        <v>10</v>
      </c>
      <c r="T4" s="8">
        <f t="shared" si="1"/>
        <v>10</v>
      </c>
      <c r="U4" s="6">
        <v>11</v>
      </c>
      <c r="W4" s="8"/>
      <c r="X4" s="3">
        <v>1</v>
      </c>
      <c r="Y4" s="3">
        <v>2</v>
      </c>
      <c r="Z4" s="3">
        <v>3</v>
      </c>
      <c r="AA4" s="3">
        <v>4</v>
      </c>
      <c r="AB4" s="3">
        <v>5</v>
      </c>
      <c r="AC4" s="3">
        <v>6</v>
      </c>
      <c r="AD4" s="3">
        <v>7</v>
      </c>
      <c r="AE4" s="3">
        <v>8</v>
      </c>
      <c r="AF4" s="3">
        <v>9</v>
      </c>
      <c r="AG4" s="3">
        <v>10</v>
      </c>
      <c r="AH4" s="3">
        <v>11</v>
      </c>
      <c r="AI4" s="3">
        <v>12</v>
      </c>
      <c r="AJ4" s="3">
        <v>13</v>
      </c>
      <c r="AK4" s="3">
        <v>14</v>
      </c>
      <c r="AL4" s="3">
        <v>15</v>
      </c>
    </row>
    <row r="5" spans="1:38" x14ac:dyDescent="0.25">
      <c r="A5" s="2" t="s">
        <v>2</v>
      </c>
      <c r="B5" s="3">
        <v>101325</v>
      </c>
      <c r="E5" s="5">
        <f t="shared" si="0"/>
        <v>1.7999999999999998</v>
      </c>
      <c r="F5" s="8">
        <f t="shared" ref="F5:F7" si="2">F6+$B$4*$B$2</f>
        <v>8</v>
      </c>
      <c r="G5" s="10">
        <f>0.25*(F18+G17+H18+G19)</f>
        <v>8.0283446455967091</v>
      </c>
      <c r="H5" s="10">
        <f t="shared" ref="H5:S5" si="3">0.25*(G18+H17+I18+H19)</f>
        <v>8.0648681536281597</v>
      </c>
      <c r="I5" s="10">
        <f t="shared" si="3"/>
        <v>8.1180730003504848</v>
      </c>
      <c r="J5" s="10">
        <f t="shared" si="3"/>
        <v>8.1952171686345405</v>
      </c>
      <c r="K5" s="10">
        <f t="shared" si="3"/>
        <v>8.2968869364260378</v>
      </c>
      <c r="L5" s="10">
        <f t="shared" si="3"/>
        <v>8.4102906793408554</v>
      </c>
      <c r="M5" s="10">
        <f t="shared" si="3"/>
        <v>8.5221490617377498</v>
      </c>
      <c r="N5" s="10">
        <f t="shared" si="3"/>
        <v>8.6241901045414942</v>
      </c>
      <c r="O5" s="10">
        <f t="shared" si="3"/>
        <v>8.7130063599489738</v>
      </c>
      <c r="P5" s="10">
        <f t="shared" si="3"/>
        <v>8.7884287916042254</v>
      </c>
      <c r="Q5" s="10">
        <f t="shared" si="3"/>
        <v>8.8521084741996336</v>
      </c>
      <c r="R5" s="10">
        <f t="shared" si="3"/>
        <v>8.9066037634769</v>
      </c>
      <c r="S5" s="10">
        <f t="shared" si="3"/>
        <v>8.9548687901223616</v>
      </c>
      <c r="T5" s="8">
        <f t="shared" ref="T5:T12" si="4">T6+$B$2*$B$6</f>
        <v>9</v>
      </c>
      <c r="U5" s="6">
        <v>10</v>
      </c>
      <c r="W5" s="3" t="s">
        <v>9</v>
      </c>
      <c r="X5" s="7">
        <v>0</v>
      </c>
      <c r="Y5" s="7">
        <v>0</v>
      </c>
      <c r="Z5" s="7">
        <v>0</v>
      </c>
      <c r="AA5" s="7">
        <v>0</v>
      </c>
      <c r="AB5" s="7">
        <v>0</v>
      </c>
      <c r="AC5" s="7">
        <v>0</v>
      </c>
      <c r="AD5" s="7">
        <v>0</v>
      </c>
      <c r="AE5" s="7">
        <v>0</v>
      </c>
      <c r="AF5" s="7">
        <v>0</v>
      </c>
      <c r="AG5" s="7">
        <v>0</v>
      </c>
      <c r="AH5" s="7">
        <v>0</v>
      </c>
      <c r="AI5" s="7">
        <v>0</v>
      </c>
      <c r="AJ5" s="7">
        <v>0</v>
      </c>
      <c r="AK5" s="7">
        <v>0</v>
      </c>
      <c r="AL5" s="7">
        <v>0</v>
      </c>
    </row>
    <row r="6" spans="1:38" x14ac:dyDescent="0.25">
      <c r="A6" s="2" t="s">
        <v>3</v>
      </c>
      <c r="B6" s="3">
        <f>((E4-E9)*B4)/(E4-E14)</f>
        <v>5</v>
      </c>
      <c r="E6" s="5">
        <f t="shared" si="0"/>
        <v>1.5999999999999999</v>
      </c>
      <c r="F6" s="8">
        <f t="shared" si="2"/>
        <v>6</v>
      </c>
      <c r="G6" s="10">
        <f t="shared" ref="G6:N8" si="5">0.25*(F19+G18+H19+G20)</f>
        <v>6.0485104305533097</v>
      </c>
      <c r="H6" s="10">
        <f t="shared" si="5"/>
        <v>6.1130549722488485</v>
      </c>
      <c r="I6" s="10">
        <f t="shared" si="5"/>
        <v>6.2122066854329976</v>
      </c>
      <c r="J6" s="10">
        <f t="shared" si="5"/>
        <v>6.3659087467838278</v>
      </c>
      <c r="K6" s="10">
        <f t="shared" si="5"/>
        <v>6.582039910700427</v>
      </c>
      <c r="L6" s="10">
        <f t="shared" si="5"/>
        <v>6.8221267353489088</v>
      </c>
      <c r="M6" s="10">
        <f t="shared" si="5"/>
        <v>7.0541154831803299</v>
      </c>
      <c r="N6" s="10">
        <f t="shared" si="5"/>
        <v>7.2616050180910099</v>
      </c>
      <c r="O6" s="10">
        <f t="shared" ref="O6:S6" si="6">0.25*(N19+O18+P19+O20)</f>
        <v>7.4394065667831368</v>
      </c>
      <c r="P6" s="10">
        <f t="shared" si="6"/>
        <v>7.588600353393252</v>
      </c>
      <c r="Q6" s="10">
        <f t="shared" si="6"/>
        <v>7.713401360393501</v>
      </c>
      <c r="R6" s="10">
        <f t="shared" si="6"/>
        <v>7.8194378027110583</v>
      </c>
      <c r="S6" s="10">
        <f t="shared" si="6"/>
        <v>7.9128714041900263</v>
      </c>
      <c r="T6" s="8">
        <f t="shared" si="4"/>
        <v>8</v>
      </c>
      <c r="U6" s="6">
        <v>9</v>
      </c>
      <c r="W6" s="3" t="s">
        <v>10</v>
      </c>
      <c r="X6" s="7">
        <v>0</v>
      </c>
      <c r="Y6" s="7">
        <f>X6+$B$2</f>
        <v>0.2</v>
      </c>
      <c r="Z6" s="7">
        <f t="shared" ref="Z6:AL6" si="7">Y6+$B$2</f>
        <v>0.4</v>
      </c>
      <c r="AA6" s="7">
        <f t="shared" si="7"/>
        <v>0.60000000000000009</v>
      </c>
      <c r="AB6" s="7">
        <f t="shared" si="7"/>
        <v>0.8</v>
      </c>
      <c r="AC6" s="7">
        <f t="shared" si="7"/>
        <v>1</v>
      </c>
      <c r="AD6" s="7">
        <f t="shared" si="7"/>
        <v>1.2</v>
      </c>
      <c r="AE6" s="7">
        <f t="shared" si="7"/>
        <v>1.4</v>
      </c>
      <c r="AF6" s="7">
        <f t="shared" si="7"/>
        <v>1.5999999999999999</v>
      </c>
      <c r="AG6" s="7">
        <f t="shared" si="7"/>
        <v>1.7999999999999998</v>
      </c>
      <c r="AH6" s="7">
        <f t="shared" si="7"/>
        <v>1.9999999999999998</v>
      </c>
      <c r="AI6" s="7">
        <f t="shared" si="7"/>
        <v>2.1999999999999997</v>
      </c>
      <c r="AJ6" s="7">
        <f t="shared" si="7"/>
        <v>2.4</v>
      </c>
      <c r="AK6" s="7">
        <f t="shared" si="7"/>
        <v>2.6</v>
      </c>
      <c r="AL6" s="7">
        <f t="shared" si="7"/>
        <v>2.8000000000000003</v>
      </c>
    </row>
    <row r="7" spans="1:38" x14ac:dyDescent="0.25">
      <c r="A7" s="1"/>
      <c r="E7" s="5">
        <f t="shared" si="0"/>
        <v>1.4</v>
      </c>
      <c r="F7" s="8">
        <f t="shared" si="2"/>
        <v>4</v>
      </c>
      <c r="G7" s="10">
        <f t="shared" si="5"/>
        <v>4.0526421072239502</v>
      </c>
      <c r="H7" s="10">
        <f t="shared" si="5"/>
        <v>4.1266346257354556</v>
      </c>
      <c r="I7" s="10">
        <f t="shared" si="5"/>
        <v>4.2517900325777731</v>
      </c>
      <c r="J7" s="10">
        <f t="shared" si="5"/>
        <v>4.4741712384786316</v>
      </c>
      <c r="K7" s="10">
        <f t="shared" si="5"/>
        <v>4.8432372463404292</v>
      </c>
      <c r="L7" s="10">
        <f t="shared" si="5"/>
        <v>5.2420608984132446</v>
      </c>
      <c r="M7" s="10">
        <f t="shared" si="5"/>
        <v>5.6105811530699015</v>
      </c>
      <c r="N7" s="10">
        <f t="shared" si="5"/>
        <v>5.9287079593558296</v>
      </c>
      <c r="O7" s="10">
        <f t="shared" ref="O7:S7" si="8">0.25*(N20+O19+P20+O21)</f>
        <v>6.1944145772594847</v>
      </c>
      <c r="P7" s="10">
        <f t="shared" si="8"/>
        <v>6.4131647358156858</v>
      </c>
      <c r="Q7" s="10">
        <f t="shared" si="8"/>
        <v>6.5934588450756362</v>
      </c>
      <c r="R7" s="10">
        <f t="shared" si="8"/>
        <v>6.7448747083961527</v>
      </c>
      <c r="S7" s="10">
        <f t="shared" si="8"/>
        <v>6.8771790369560861</v>
      </c>
      <c r="T7" s="8">
        <f t="shared" si="4"/>
        <v>7</v>
      </c>
      <c r="U7" s="6">
        <v>8</v>
      </c>
      <c r="W7" s="3" t="s">
        <v>14</v>
      </c>
      <c r="X7" s="7">
        <v>1</v>
      </c>
      <c r="Y7" s="7">
        <v>1</v>
      </c>
      <c r="Z7" s="7">
        <v>1</v>
      </c>
      <c r="AA7" s="7">
        <v>1</v>
      </c>
      <c r="AB7" s="7">
        <v>1</v>
      </c>
      <c r="AC7" s="7">
        <v>0.8</v>
      </c>
      <c r="AD7" s="7">
        <v>0.6</v>
      </c>
      <c r="AE7" s="7">
        <v>0.4</v>
      </c>
      <c r="AF7" s="7">
        <v>0.2</v>
      </c>
      <c r="AG7" s="7">
        <v>0</v>
      </c>
      <c r="AH7" s="7">
        <v>0</v>
      </c>
      <c r="AI7" s="7">
        <v>0</v>
      </c>
      <c r="AJ7" s="7">
        <v>0</v>
      </c>
      <c r="AK7" s="7">
        <v>0</v>
      </c>
      <c r="AL7" s="7">
        <v>0</v>
      </c>
    </row>
    <row r="8" spans="1:38" x14ac:dyDescent="0.25">
      <c r="A8" s="1"/>
      <c r="E8" s="5">
        <f t="shared" si="0"/>
        <v>1.2</v>
      </c>
      <c r="F8" s="8">
        <f>F9+$B$4*$B$2</f>
        <v>2</v>
      </c>
      <c r="G8" s="10">
        <f t="shared" si="5"/>
        <v>2.0354233756575373</v>
      </c>
      <c r="H8" s="10">
        <f t="shared" si="5"/>
        <v>2.0890513972786264</v>
      </c>
      <c r="I8" s="10">
        <f t="shared" si="5"/>
        <v>2.1941475920129463</v>
      </c>
      <c r="J8" s="10">
        <f t="shared" si="5"/>
        <v>2.4357489455736321</v>
      </c>
      <c r="K8" s="10">
        <f t="shared" si="5"/>
        <v>3.074676965093265</v>
      </c>
      <c r="L8" s="10">
        <f t="shared" si="5"/>
        <v>3.6922984953129094</v>
      </c>
      <c r="M8" s="10">
        <f t="shared" si="5"/>
        <v>4.2174403187837557</v>
      </c>
      <c r="N8" s="10">
        <f t="shared" si="5"/>
        <v>4.6482311415195543</v>
      </c>
      <c r="O8" s="10">
        <f t="shared" ref="O8:S8" si="9">0.25*(N21+O20+P21+O22)</f>
        <v>4.9963791043907086</v>
      </c>
      <c r="P8" s="10">
        <f t="shared" si="9"/>
        <v>5.2761852205341135</v>
      </c>
      <c r="Q8" s="10">
        <f t="shared" si="9"/>
        <v>5.50239462293953</v>
      </c>
      <c r="R8" s="10">
        <f t="shared" si="9"/>
        <v>5.6894231822131873</v>
      </c>
      <c r="S8" s="10">
        <f t="shared" si="9"/>
        <v>5.8509700535376448</v>
      </c>
      <c r="T8" s="8">
        <f t="shared" si="4"/>
        <v>6</v>
      </c>
      <c r="U8" s="6">
        <v>7</v>
      </c>
      <c r="W8" s="3" t="s">
        <v>11</v>
      </c>
      <c r="X8" s="7">
        <f>F35</f>
        <v>10</v>
      </c>
      <c r="Y8" s="7">
        <f t="shared" ref="Y8:AL8" si="10">G35</f>
        <v>10.177116878287686</v>
      </c>
      <c r="Z8" s="7">
        <f t="shared" si="10"/>
        <v>10.445256986393131</v>
      </c>
      <c r="AA8" s="7">
        <f t="shared" si="10"/>
        <v>10.970737960064731</v>
      </c>
      <c r="AB8" s="7">
        <f t="shared" si="10"/>
        <v>12.17874472786816</v>
      </c>
      <c r="AC8" s="7">
        <f>K36</f>
        <v>6.6371159841840539</v>
      </c>
      <c r="AD8" s="7">
        <f>L37</f>
        <v>5.0084557513483352</v>
      </c>
      <c r="AE8" s="7">
        <f>M38</f>
        <v>3.9931583018362518</v>
      </c>
      <c r="AF8" s="7">
        <f>N39</f>
        <v>3.1416986008664374</v>
      </c>
      <c r="AG8" s="7">
        <f>O40</f>
        <v>2.1832321548737119</v>
      </c>
      <c r="AH8" s="7">
        <f t="shared" ref="AH8:AL8" si="11">P40</f>
        <v>3.2800235807708038</v>
      </c>
      <c r="AI8" s="7">
        <f t="shared" si="11"/>
        <v>3.9307642443981137</v>
      </c>
      <c r="AJ8" s="7">
        <f t="shared" si="11"/>
        <v>4.3713257408457808</v>
      </c>
      <c r="AK8" s="7">
        <f t="shared" si="11"/>
        <v>4.7077636928333977</v>
      </c>
      <c r="AL8" s="7">
        <f t="shared" si="11"/>
        <v>5</v>
      </c>
    </row>
    <row r="9" spans="1:38" x14ac:dyDescent="0.25">
      <c r="A9" s="1"/>
      <c r="E9" s="5">
        <f t="shared" si="0"/>
        <v>1</v>
      </c>
      <c r="F9" s="8">
        <v>0</v>
      </c>
      <c r="G9" s="8">
        <v>0</v>
      </c>
      <c r="H9" s="8">
        <v>0</v>
      </c>
      <c r="I9" s="8">
        <v>0</v>
      </c>
      <c r="J9" s="8">
        <v>0</v>
      </c>
      <c r="K9" s="10">
        <f t="shared" ref="K9:N9" si="12">0.25*(J22+K21+L22+K23)</f>
        <v>1.3274231968368109</v>
      </c>
      <c r="L9" s="10">
        <f t="shared" si="12"/>
        <v>2.2350158367471851</v>
      </c>
      <c r="M9" s="10">
        <f t="shared" si="12"/>
        <v>2.9186505336921007</v>
      </c>
      <c r="N9" s="10">
        <f t="shared" si="12"/>
        <v>3.4503972432120231</v>
      </c>
      <c r="O9" s="10">
        <f t="shared" ref="O9:S9" si="13">0.25*(N22+O21+P22+O23)</f>
        <v>3.8666855400022944</v>
      </c>
      <c r="P9" s="10">
        <f t="shared" si="13"/>
        <v>4.1928024812333842</v>
      </c>
      <c r="Q9" s="10">
        <f t="shared" si="13"/>
        <v>4.4505112959102648</v>
      </c>
      <c r="R9" s="10">
        <f t="shared" si="13"/>
        <v>4.6594533836769925</v>
      </c>
      <c r="S9" s="10">
        <f t="shared" si="13"/>
        <v>4.8372780152641415</v>
      </c>
      <c r="T9" s="8">
        <f t="shared" si="4"/>
        <v>5</v>
      </c>
      <c r="U9" s="6">
        <v>6</v>
      </c>
      <c r="W9" s="3" t="s">
        <v>12</v>
      </c>
      <c r="X9" s="7">
        <f>F48</f>
        <v>0</v>
      </c>
      <c r="Y9" s="7">
        <f t="shared" ref="Y9:AB9" si="14">G48</f>
        <v>0</v>
      </c>
      <c r="Z9" s="7">
        <f t="shared" si="14"/>
        <v>0</v>
      </c>
      <c r="AA9" s="7">
        <f t="shared" si="14"/>
        <v>0</v>
      </c>
      <c r="AB9" s="7">
        <f t="shared" si="14"/>
        <v>-3.318557992092027</v>
      </c>
      <c r="AC9" s="7">
        <f>K49</f>
        <v>-5.0084557513483352</v>
      </c>
      <c r="AD9" s="7">
        <f>L50</f>
        <v>-3.9931583018362518</v>
      </c>
      <c r="AE9" s="7">
        <f>M51</f>
        <v>-3.1416986008664374</v>
      </c>
      <c r="AF9" s="7">
        <f>N52</f>
        <v>-2.1832321548737119</v>
      </c>
      <c r="AG9" s="7">
        <f>O53</f>
        <v>0</v>
      </c>
      <c r="AH9" s="7">
        <f t="shared" ref="AH9:AL9" si="15">P53</f>
        <v>0</v>
      </c>
      <c r="AI9" s="7">
        <f t="shared" si="15"/>
        <v>0</v>
      </c>
      <c r="AJ9" s="7">
        <f t="shared" si="15"/>
        <v>0</v>
      </c>
      <c r="AK9" s="7">
        <f t="shared" si="15"/>
        <v>0</v>
      </c>
      <c r="AL9" s="7">
        <f t="shared" si="15"/>
        <v>0</v>
      </c>
    </row>
    <row r="10" spans="1:38" x14ac:dyDescent="0.25">
      <c r="A10" s="2" t="s">
        <v>4</v>
      </c>
      <c r="B10" s="3">
        <v>300</v>
      </c>
      <c r="C10">
        <v>301</v>
      </c>
      <c r="E10" s="5">
        <f t="shared" si="0"/>
        <v>0.8</v>
      </c>
      <c r="K10" s="8">
        <v>0</v>
      </c>
      <c r="L10" s="10">
        <f t="shared" ref="L10:N10" si="16">0.25*(K23+L22+M23+L24)</f>
        <v>1.001691150269667</v>
      </c>
      <c r="M10" s="10">
        <f t="shared" si="16"/>
        <v>1.7717487811352437</v>
      </c>
      <c r="N10" s="10">
        <f t="shared" si="16"/>
        <v>2.3680218123223709</v>
      </c>
      <c r="O10" s="10">
        <f t="shared" ref="O10:S10" si="17">0.25*(N23+O22+P23+O24)</f>
        <v>2.8271633940955145</v>
      </c>
      <c r="P10" s="10">
        <f t="shared" si="17"/>
        <v>3.1778279285733584</v>
      </c>
      <c r="Q10" s="10">
        <f t="shared" si="17"/>
        <v>3.4473947504067923</v>
      </c>
      <c r="R10" s="10">
        <f t="shared" si="17"/>
        <v>3.6606010803496543</v>
      </c>
      <c r="S10" s="10">
        <f t="shared" si="17"/>
        <v>3.8386886453754743</v>
      </c>
      <c r="T10" s="8">
        <f t="shared" si="4"/>
        <v>4</v>
      </c>
      <c r="U10" s="6">
        <v>5</v>
      </c>
      <c r="W10" s="3" t="s">
        <v>13</v>
      </c>
      <c r="X10" s="7">
        <f>(X8^2+X9^2)^0.5</f>
        <v>10</v>
      </c>
      <c r="Y10" s="7">
        <f t="shared" ref="Y10:AK10" si="18">(Y8^2+Y9^2)^0.5</f>
        <v>10.177116878287686</v>
      </c>
      <c r="Z10" s="7">
        <f t="shared" si="18"/>
        <v>10.445256986393131</v>
      </c>
      <c r="AA10" s="7">
        <f t="shared" si="18"/>
        <v>10.970737960064731</v>
      </c>
      <c r="AB10" s="7">
        <f t="shared" si="18"/>
        <v>12.622782985279212</v>
      </c>
      <c r="AC10" s="7">
        <f t="shared" si="18"/>
        <v>8.3148023188002309</v>
      </c>
      <c r="AD10" s="7">
        <f t="shared" si="18"/>
        <v>6.4054619065870648</v>
      </c>
      <c r="AE10" s="7">
        <f t="shared" si="18"/>
        <v>5.0809037898989891</v>
      </c>
      <c r="AF10" s="7">
        <f t="shared" si="18"/>
        <v>3.8258035418406737</v>
      </c>
      <c r="AG10" s="7">
        <f t="shared" si="18"/>
        <v>2.1832321548737119</v>
      </c>
      <c r="AH10" s="7">
        <f t="shared" si="18"/>
        <v>3.2800235807708038</v>
      </c>
      <c r="AI10" s="7">
        <f t="shared" si="18"/>
        <v>3.9307642443981137</v>
      </c>
      <c r="AJ10" s="7">
        <f t="shared" si="18"/>
        <v>4.3713257408457808</v>
      </c>
      <c r="AK10" s="7">
        <f t="shared" si="18"/>
        <v>4.7077636928333977</v>
      </c>
      <c r="AL10" s="7">
        <f>(AL8^2+AL9^2)^0.5</f>
        <v>5</v>
      </c>
    </row>
    <row r="11" spans="1:38" x14ac:dyDescent="0.25">
      <c r="A11" s="1"/>
      <c r="E11" s="5">
        <f t="shared" si="0"/>
        <v>0.60000000000000009</v>
      </c>
      <c r="L11" s="8">
        <v>0</v>
      </c>
      <c r="M11" s="10">
        <f t="shared" ref="M11:N11" si="19">0.25*(L24+M23+N24+M25)</f>
        <v>0.79863166036725042</v>
      </c>
      <c r="N11" s="10">
        <f t="shared" si="19"/>
        <v>1.4227778775871753</v>
      </c>
      <c r="O11" s="10">
        <f t="shared" ref="O11:S11" si="20">0.25*(N24+O23+P24+O25)</f>
        <v>1.8961183482470991</v>
      </c>
      <c r="P11" s="10">
        <f t="shared" si="20"/>
        <v>2.2439511443806657</v>
      </c>
      <c r="Q11" s="10">
        <f t="shared" si="20"/>
        <v>2.5006387447232661</v>
      </c>
      <c r="R11" s="10">
        <f t="shared" si="20"/>
        <v>2.6968675791294769</v>
      </c>
      <c r="S11" s="10">
        <f t="shared" si="20"/>
        <v>2.8568755050445516</v>
      </c>
      <c r="T11" s="8">
        <f t="shared" si="4"/>
        <v>3</v>
      </c>
      <c r="U11" s="6">
        <v>4</v>
      </c>
      <c r="W11" s="3" t="s">
        <v>15</v>
      </c>
      <c r="X11" s="7">
        <f>B5</f>
        <v>101325</v>
      </c>
      <c r="Y11" s="7">
        <f>(X11+(X10^2)/2)-(Y10^2)/2</f>
        <v>101323.21314602284</v>
      </c>
      <c r="Z11" s="7">
        <f t="shared" ref="Z11:AL11" si="21">(Y11+(Y10^2)/2)-(Z10^2)/2</f>
        <v>101320.44830324411</v>
      </c>
      <c r="AA11" s="7">
        <f t="shared" si="21"/>
        <v>101314.8214543058</v>
      </c>
      <c r="AB11" s="7">
        <f t="shared" si="21"/>
        <v>101295.33267485327</v>
      </c>
      <c r="AC11" s="7">
        <f t="shared" si="21"/>
        <v>101340.43203119964</v>
      </c>
      <c r="AD11" s="7">
        <f t="shared" si="21"/>
        <v>101354.48502888164</v>
      </c>
      <c r="AE11" s="7">
        <f t="shared" si="21"/>
        <v>101362.0922083389</v>
      </c>
      <c r="AF11" s="7">
        <f t="shared" si="21"/>
        <v>101367.68161362963</v>
      </c>
      <c r="AG11" s="7">
        <f t="shared" si="21"/>
        <v>101372.61674867896</v>
      </c>
      <c r="AH11" s="7">
        <f t="shared" si="21"/>
        <v>101369.6207226548</v>
      </c>
      <c r="AI11" s="7">
        <f t="shared" si="21"/>
        <v>101367.27454622748</v>
      </c>
      <c r="AJ11" s="7">
        <f t="shared" si="21"/>
        <v>101365.44575563371</v>
      </c>
      <c r="AK11" s="7">
        <f t="shared" si="21"/>
        <v>101363.91848050623</v>
      </c>
      <c r="AL11" s="7">
        <f t="shared" si="21"/>
        <v>101362.5</v>
      </c>
    </row>
    <row r="12" spans="1:38" x14ac:dyDescent="0.25">
      <c r="A12" s="2" t="s">
        <v>5</v>
      </c>
      <c r="B12" s="3">
        <v>15</v>
      </c>
      <c r="E12" s="5">
        <f t="shared" si="0"/>
        <v>0.4</v>
      </c>
      <c r="M12" s="8">
        <v>0</v>
      </c>
      <c r="N12" s="10">
        <f t="shared" ref="N12" si="22">0.25*(M25+N24+O25+N26)</f>
        <v>0.62833972017328754</v>
      </c>
      <c r="O12" s="10">
        <f t="shared" ref="O12:S12" si="23">0.25*(N25+O24+P25+O26)</f>
        <v>1.0905810183273121</v>
      </c>
      <c r="P12" s="10">
        <f t="shared" si="23"/>
        <v>1.4012195986196019</v>
      </c>
      <c r="Q12" s="10">
        <f t="shared" si="23"/>
        <v>1.6143415452822971</v>
      </c>
      <c r="R12" s="10">
        <f t="shared" si="23"/>
        <v>1.7693550158066964</v>
      </c>
      <c r="S12" s="10">
        <f t="shared" si="23"/>
        <v>1.8919458120635433</v>
      </c>
      <c r="T12" s="8">
        <f t="shared" si="4"/>
        <v>2</v>
      </c>
      <c r="U12" s="6">
        <v>3</v>
      </c>
      <c r="W12" s="3" t="s">
        <v>16</v>
      </c>
      <c r="X12" s="7">
        <f>(X11-$B$5)/(($X$10^2)/2)</f>
        <v>0</v>
      </c>
      <c r="Y12" s="7">
        <f t="shared" ref="Y12:AL12" si="24">(Y11-$B$5)/(($X$10^2)/2)</f>
        <v>-3.5737079543177973E-2</v>
      </c>
      <c r="Z12" s="7">
        <f t="shared" si="24"/>
        <v>-9.1033935117884546E-2</v>
      </c>
      <c r="AA12" s="7">
        <f t="shared" si="24"/>
        <v>-0.20357091388403206</v>
      </c>
      <c r="AB12" s="7">
        <f t="shared" si="24"/>
        <v>-0.59334650293458258</v>
      </c>
      <c r="AC12" s="7">
        <f t="shared" si="24"/>
        <v>0.30864062399283282</v>
      </c>
      <c r="AD12" s="7">
        <f t="shared" si="24"/>
        <v>0.58970057763275685</v>
      </c>
      <c r="AE12" s="7">
        <f t="shared" si="24"/>
        <v>0.741844166778028</v>
      </c>
      <c r="AF12" s="7">
        <f t="shared" si="24"/>
        <v>0.85363227259251284</v>
      </c>
      <c r="AG12" s="7">
        <f t="shared" si="24"/>
        <v>0.95233497357927266</v>
      </c>
      <c r="AH12" s="7">
        <f t="shared" si="24"/>
        <v>0.89241445309598932</v>
      </c>
      <c r="AI12" s="7">
        <f t="shared" si="24"/>
        <v>0.84549092454952191</v>
      </c>
      <c r="AJ12" s="7">
        <f t="shared" si="24"/>
        <v>0.8089151126742945</v>
      </c>
      <c r="AK12" s="7">
        <f t="shared" si="24"/>
        <v>0.77836961012450046</v>
      </c>
      <c r="AL12" s="7">
        <f t="shared" si="24"/>
        <v>0.75</v>
      </c>
    </row>
    <row r="13" spans="1:38" x14ac:dyDescent="0.25">
      <c r="A13" s="2" t="s">
        <v>6</v>
      </c>
      <c r="B13" s="3">
        <v>11</v>
      </c>
      <c r="E13" s="5">
        <f>E14+$B$2</f>
        <v>0.2</v>
      </c>
      <c r="N13" s="8">
        <v>0</v>
      </c>
      <c r="O13" s="10">
        <f t="shared" ref="O13:S13" si="25">0.25*(N26+O25+P26+O27)</f>
        <v>0.43664643097474243</v>
      </c>
      <c r="P13" s="10">
        <f t="shared" si="25"/>
        <v>0.65600471615416078</v>
      </c>
      <c r="Q13" s="10">
        <f t="shared" si="25"/>
        <v>0.78615284887962278</v>
      </c>
      <c r="R13" s="10">
        <f t="shared" si="25"/>
        <v>0.87426514816915624</v>
      </c>
      <c r="S13" s="10">
        <f t="shared" si="25"/>
        <v>0.94155273856667954</v>
      </c>
      <c r="T13" s="8">
        <f>T14+$B$2*$B$6</f>
        <v>1</v>
      </c>
      <c r="U13" s="6">
        <v>2</v>
      </c>
    </row>
    <row r="14" spans="1:38" x14ac:dyDescent="0.25">
      <c r="A14" s="2" t="s">
        <v>7</v>
      </c>
      <c r="B14" s="3">
        <v>15</v>
      </c>
      <c r="E14" s="5">
        <f>0</f>
        <v>0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6">
        <v>1</v>
      </c>
    </row>
    <row r="15" spans="1:38" x14ac:dyDescent="0.25">
      <c r="A15" s="2" t="s">
        <v>8</v>
      </c>
      <c r="B15" s="3">
        <v>6</v>
      </c>
      <c r="F15" s="5">
        <f>0</f>
        <v>0</v>
      </c>
      <c r="G15" s="5">
        <f>F15+$B$2</f>
        <v>0.2</v>
      </c>
      <c r="H15" s="5">
        <f t="shared" ref="H15:T15" si="26">G15+$B$2</f>
        <v>0.4</v>
      </c>
      <c r="I15" s="5">
        <f t="shared" si="26"/>
        <v>0.60000000000000009</v>
      </c>
      <c r="J15" s="5">
        <f t="shared" si="26"/>
        <v>0.8</v>
      </c>
      <c r="K15" s="5">
        <f t="shared" si="26"/>
        <v>1</v>
      </c>
      <c r="L15" s="5">
        <f t="shared" si="26"/>
        <v>1.2</v>
      </c>
      <c r="M15" s="5">
        <f t="shared" si="26"/>
        <v>1.4</v>
      </c>
      <c r="N15" s="5">
        <f t="shared" si="26"/>
        <v>1.5999999999999999</v>
      </c>
      <c r="O15" s="5">
        <f t="shared" si="26"/>
        <v>1.7999999999999998</v>
      </c>
      <c r="P15" s="5">
        <f t="shared" si="26"/>
        <v>1.9999999999999998</v>
      </c>
      <c r="Q15" s="5">
        <f t="shared" si="26"/>
        <v>2.1999999999999997</v>
      </c>
      <c r="R15" s="5">
        <f t="shared" si="26"/>
        <v>2.4</v>
      </c>
      <c r="S15" s="5">
        <f t="shared" si="26"/>
        <v>2.6</v>
      </c>
      <c r="T15" s="5">
        <f t="shared" si="26"/>
        <v>2.8000000000000003</v>
      </c>
      <c r="W15" s="12"/>
      <c r="X15" s="3">
        <v>1</v>
      </c>
      <c r="Y15" s="3">
        <v>2</v>
      </c>
      <c r="Z15" s="3">
        <v>3</v>
      </c>
      <c r="AA15" s="3">
        <v>4</v>
      </c>
      <c r="AB15" s="3">
        <v>5</v>
      </c>
      <c r="AC15" s="3">
        <v>6</v>
      </c>
      <c r="AD15" s="3">
        <v>7</v>
      </c>
      <c r="AE15" s="3">
        <v>8</v>
      </c>
      <c r="AF15" s="3">
        <v>9</v>
      </c>
      <c r="AG15" s="3">
        <v>10</v>
      </c>
      <c r="AH15" s="3">
        <v>11</v>
      </c>
      <c r="AI15" s="3">
        <v>12</v>
      </c>
      <c r="AJ15" s="3">
        <v>13</v>
      </c>
      <c r="AK15" s="3">
        <v>14</v>
      </c>
      <c r="AL15" s="3">
        <v>15</v>
      </c>
    </row>
    <row r="16" spans="1:38" x14ac:dyDescent="0.25">
      <c r="A16" s="2" t="s">
        <v>9</v>
      </c>
      <c r="B16" s="3">
        <v>0</v>
      </c>
      <c r="W16" s="3" t="s">
        <v>9</v>
      </c>
      <c r="X16" s="7">
        <f>F4</f>
        <v>10</v>
      </c>
      <c r="Y16" s="7">
        <f t="shared" ref="Y16:AL16" si="27">G4</f>
        <v>10</v>
      </c>
      <c r="Z16" s="7">
        <f t="shared" si="27"/>
        <v>10</v>
      </c>
      <c r="AA16" s="7">
        <f t="shared" si="27"/>
        <v>10</v>
      </c>
      <c r="AB16" s="7">
        <f t="shared" si="27"/>
        <v>10</v>
      </c>
      <c r="AC16" s="7">
        <f t="shared" si="27"/>
        <v>10</v>
      </c>
      <c r="AD16" s="7">
        <f t="shared" si="27"/>
        <v>10</v>
      </c>
      <c r="AE16" s="7">
        <f t="shared" si="27"/>
        <v>10</v>
      </c>
      <c r="AF16" s="7">
        <f t="shared" si="27"/>
        <v>10</v>
      </c>
      <c r="AG16" s="7">
        <f t="shared" si="27"/>
        <v>10</v>
      </c>
      <c r="AH16" s="7">
        <f t="shared" si="27"/>
        <v>10</v>
      </c>
      <c r="AI16" s="7">
        <f t="shared" si="27"/>
        <v>10</v>
      </c>
      <c r="AJ16" s="7">
        <f t="shared" si="27"/>
        <v>10</v>
      </c>
      <c r="AK16" s="7">
        <f t="shared" si="27"/>
        <v>10</v>
      </c>
      <c r="AL16" s="7">
        <f t="shared" si="27"/>
        <v>10</v>
      </c>
    </row>
    <row r="17" spans="4:38" x14ac:dyDescent="0.25">
      <c r="E17" s="5">
        <f t="shared" ref="E17:E25" si="28">E18+$B$2</f>
        <v>1.9999999999999998</v>
      </c>
      <c r="F17" s="3">
        <v>10</v>
      </c>
      <c r="G17" s="3">
        <v>10</v>
      </c>
      <c r="H17" s="3">
        <v>10</v>
      </c>
      <c r="I17" s="3">
        <v>10</v>
      </c>
      <c r="J17" s="3">
        <v>10</v>
      </c>
      <c r="K17" s="3">
        <v>10</v>
      </c>
      <c r="L17" s="3">
        <v>10</v>
      </c>
      <c r="M17" s="3">
        <v>10</v>
      </c>
      <c r="N17" s="3">
        <v>10</v>
      </c>
      <c r="O17" s="3">
        <v>10</v>
      </c>
      <c r="P17" s="3">
        <v>10</v>
      </c>
      <c r="Q17" s="3">
        <v>10</v>
      </c>
      <c r="R17" s="3">
        <v>10</v>
      </c>
      <c r="S17" s="3">
        <v>10</v>
      </c>
      <c r="T17" s="3">
        <v>10</v>
      </c>
      <c r="W17" s="3" t="s">
        <v>10</v>
      </c>
      <c r="X17" s="7">
        <v>0</v>
      </c>
      <c r="Y17" s="7">
        <f>X17+$B$2</f>
        <v>0.2</v>
      </c>
      <c r="Z17" s="7">
        <f t="shared" ref="Z17:AL17" si="29">Y17+$B$2</f>
        <v>0.4</v>
      </c>
      <c r="AA17" s="7">
        <f t="shared" si="29"/>
        <v>0.60000000000000009</v>
      </c>
      <c r="AB17" s="7">
        <f t="shared" si="29"/>
        <v>0.8</v>
      </c>
      <c r="AC17" s="7">
        <f t="shared" si="29"/>
        <v>1</v>
      </c>
      <c r="AD17" s="7">
        <f t="shared" si="29"/>
        <v>1.2</v>
      </c>
      <c r="AE17" s="7">
        <f t="shared" si="29"/>
        <v>1.4</v>
      </c>
      <c r="AF17" s="7">
        <f t="shared" si="29"/>
        <v>1.5999999999999999</v>
      </c>
      <c r="AG17" s="7">
        <f t="shared" si="29"/>
        <v>1.7999999999999998</v>
      </c>
      <c r="AH17" s="7">
        <f t="shared" si="29"/>
        <v>1.9999999999999998</v>
      </c>
      <c r="AI17" s="7">
        <f t="shared" si="29"/>
        <v>2.1999999999999997</v>
      </c>
      <c r="AJ17" s="7">
        <f t="shared" si="29"/>
        <v>2.4</v>
      </c>
      <c r="AK17" s="7">
        <f t="shared" si="29"/>
        <v>2.6</v>
      </c>
      <c r="AL17" s="7">
        <f t="shared" si="29"/>
        <v>2.8000000000000003</v>
      </c>
    </row>
    <row r="18" spans="4:38" x14ac:dyDescent="0.25">
      <c r="E18" s="5">
        <f t="shared" si="28"/>
        <v>1.7999999999999998</v>
      </c>
      <c r="F18" s="3">
        <v>8</v>
      </c>
      <c r="G18" s="7">
        <v>8.0283446451390201</v>
      </c>
      <c r="H18" s="7">
        <v>8.0648681526173505</v>
      </c>
      <c r="I18" s="7">
        <v>8.1180729987453777</v>
      </c>
      <c r="J18" s="7">
        <v>8.195217166158649</v>
      </c>
      <c r="K18" s="7">
        <v>8.2968869331178503</v>
      </c>
      <c r="L18" s="7">
        <v>8.4102906749091311</v>
      </c>
      <c r="M18" s="7">
        <v>8.5221490566086295</v>
      </c>
      <c r="N18" s="7">
        <v>8.6241900986107414</v>
      </c>
      <c r="O18" s="7">
        <v>8.7130063540493303</v>
      </c>
      <c r="P18" s="7">
        <v>8.7884287858070618</v>
      </c>
      <c r="Q18" s="7">
        <v>8.852108469436633</v>
      </c>
      <c r="R18" s="7">
        <v>8.9066037598749812</v>
      </c>
      <c r="S18" s="7">
        <v>8.9548687882918756</v>
      </c>
      <c r="T18" s="3">
        <v>9</v>
      </c>
      <c r="W18" s="3" t="s">
        <v>14</v>
      </c>
      <c r="X18" s="7">
        <v>2</v>
      </c>
      <c r="Y18" s="7">
        <v>2</v>
      </c>
      <c r="Z18" s="7">
        <v>2</v>
      </c>
      <c r="AA18" s="7">
        <v>2</v>
      </c>
      <c r="AB18" s="7">
        <v>2</v>
      </c>
      <c r="AC18" s="7">
        <v>2</v>
      </c>
      <c r="AD18" s="7">
        <v>2</v>
      </c>
      <c r="AE18" s="7">
        <v>2</v>
      </c>
      <c r="AF18" s="7">
        <v>2</v>
      </c>
      <c r="AG18" s="7">
        <v>2</v>
      </c>
      <c r="AH18" s="7">
        <v>2</v>
      </c>
      <c r="AI18" s="7">
        <v>2</v>
      </c>
      <c r="AJ18" s="7">
        <v>2</v>
      </c>
      <c r="AK18" s="7">
        <v>2</v>
      </c>
      <c r="AL18" s="7">
        <v>2</v>
      </c>
    </row>
    <row r="19" spans="4:38" x14ac:dyDescent="0.25">
      <c r="E19" s="5">
        <f t="shared" si="28"/>
        <v>1.5999999999999999</v>
      </c>
      <c r="F19" s="3">
        <v>6</v>
      </c>
      <c r="G19" s="7">
        <v>6.0485104297694843</v>
      </c>
      <c r="H19" s="7">
        <v>6.1130549706282409</v>
      </c>
      <c r="I19" s="7">
        <v>6.2122066826259434</v>
      </c>
      <c r="J19" s="7">
        <v>6.3659087426749377</v>
      </c>
      <c r="K19" s="7">
        <v>6.5820399046363747</v>
      </c>
      <c r="L19" s="7">
        <v>6.8221267276369435</v>
      </c>
      <c r="M19" s="7">
        <v>7.0541154734311275</v>
      </c>
      <c r="N19" s="7">
        <v>7.261605007508015</v>
      </c>
      <c r="O19" s="7">
        <v>7.4394065553780901</v>
      </c>
      <c r="P19" s="7">
        <v>7.5886003429309392</v>
      </c>
      <c r="Q19" s="7">
        <v>7.7134013511164907</v>
      </c>
      <c r="R19" s="7">
        <v>7.819437796179094</v>
      </c>
      <c r="S19" s="7">
        <v>7.9128714006144643</v>
      </c>
      <c r="T19" s="3">
        <v>8</v>
      </c>
      <c r="W19" s="3" t="s">
        <v>11</v>
      </c>
      <c r="X19" s="7">
        <f>F30</f>
        <v>10</v>
      </c>
      <c r="Y19" s="7">
        <f t="shared" ref="Y19:AL19" si="30">G30</f>
        <v>9.8582767720164544</v>
      </c>
      <c r="Z19" s="7">
        <f t="shared" si="30"/>
        <v>9.6756592318592016</v>
      </c>
      <c r="AA19" s="7">
        <f t="shared" si="30"/>
        <v>9.4096349982475758</v>
      </c>
      <c r="AB19" s="7">
        <f t="shared" si="30"/>
        <v>9.0239141568272974</v>
      </c>
      <c r="AC19" s="7">
        <f t="shared" si="30"/>
        <v>8.515565317869811</v>
      </c>
      <c r="AD19" s="7">
        <f t="shared" si="30"/>
        <v>7.948546603295723</v>
      </c>
      <c r="AE19" s="7">
        <f t="shared" si="30"/>
        <v>7.3892546913112511</v>
      </c>
      <c r="AF19" s="7">
        <f t="shared" si="30"/>
        <v>6.8790494772925292</v>
      </c>
      <c r="AG19" s="7">
        <f t="shared" si="30"/>
        <v>6.4349682002551312</v>
      </c>
      <c r="AH19" s="7">
        <f t="shared" si="30"/>
        <v>6.057856041978873</v>
      </c>
      <c r="AI19" s="7">
        <f t="shared" si="30"/>
        <v>5.7394576290018318</v>
      </c>
      <c r="AJ19" s="7">
        <f t="shared" si="30"/>
        <v>5.4669811826155001</v>
      </c>
      <c r="AK19" s="7">
        <f t="shared" si="30"/>
        <v>5.2256560493881921</v>
      </c>
      <c r="AL19" s="7">
        <f t="shared" si="30"/>
        <v>5</v>
      </c>
    </row>
    <row r="20" spans="4:38" x14ac:dyDescent="0.25">
      <c r="E20" s="5">
        <f t="shared" si="28"/>
        <v>1.4</v>
      </c>
      <c r="F20" s="3">
        <v>4</v>
      </c>
      <c r="G20" s="7">
        <v>4.0526421064459752</v>
      </c>
      <c r="H20" s="7">
        <v>4.1266346239826159</v>
      </c>
      <c r="I20" s="7">
        <v>4.2517900296834323</v>
      </c>
      <c r="J20" s="7">
        <v>4.4741712337143431</v>
      </c>
      <c r="K20" s="7">
        <v>4.8432372393719767</v>
      </c>
      <c r="L20" s="7">
        <v>5.2420608884190019</v>
      </c>
      <c r="M20" s="7">
        <v>5.6105811409677315</v>
      </c>
      <c r="N20" s="7">
        <v>5.9287079449440832</v>
      </c>
      <c r="O20" s="7">
        <v>6.1944145626442628</v>
      </c>
      <c r="P20" s="7">
        <v>6.4131647212713627</v>
      </c>
      <c r="Q20" s="7">
        <v>6.5934588330273387</v>
      </c>
      <c r="R20" s="7">
        <v>6.7448746992382995</v>
      </c>
      <c r="S20" s="7">
        <v>6.877179032289134</v>
      </c>
      <c r="T20" s="3">
        <v>7</v>
      </c>
      <c r="W20" s="3" t="s">
        <v>12</v>
      </c>
      <c r="X20" s="7">
        <f>F43</f>
        <v>0</v>
      </c>
      <c r="Y20" s="7">
        <f t="shared" ref="Y20:AL20" si="31">G43</f>
        <v>0</v>
      </c>
      <c r="Z20" s="7">
        <f t="shared" si="31"/>
        <v>0</v>
      </c>
      <c r="AA20" s="7">
        <f t="shared" si="31"/>
        <v>0</v>
      </c>
      <c r="AB20" s="7">
        <f t="shared" si="31"/>
        <v>0</v>
      </c>
      <c r="AC20" s="7">
        <f t="shared" si="31"/>
        <v>0</v>
      </c>
      <c r="AD20" s="7">
        <f t="shared" si="31"/>
        <v>0</v>
      </c>
      <c r="AE20" s="7">
        <f t="shared" si="31"/>
        <v>0</v>
      </c>
      <c r="AF20" s="7">
        <f t="shared" si="31"/>
        <v>0</v>
      </c>
      <c r="AG20" s="7">
        <f t="shared" si="31"/>
        <v>0</v>
      </c>
      <c r="AH20" s="7">
        <f t="shared" si="31"/>
        <v>0</v>
      </c>
      <c r="AI20" s="7">
        <f t="shared" si="31"/>
        <v>0</v>
      </c>
      <c r="AJ20" s="7">
        <f t="shared" si="31"/>
        <v>0</v>
      </c>
      <c r="AK20" s="7">
        <f t="shared" si="31"/>
        <v>0</v>
      </c>
      <c r="AL20" s="7">
        <f t="shared" si="31"/>
        <v>0</v>
      </c>
    </row>
    <row r="21" spans="4:38" x14ac:dyDescent="0.25">
      <c r="E21" s="5">
        <f t="shared" si="28"/>
        <v>1.2</v>
      </c>
      <c r="F21" s="3">
        <v>2</v>
      </c>
      <c r="G21" s="7">
        <v>2.0354233751437012</v>
      </c>
      <c r="H21" s="7">
        <v>2.0890513961841743</v>
      </c>
      <c r="I21" s="7">
        <v>2.194147589988189</v>
      </c>
      <c r="J21" s="7">
        <v>2.4357489421841789</v>
      </c>
      <c r="K21" s="7">
        <v>3.0746769585919966</v>
      </c>
      <c r="L21" s="7">
        <v>3.6922984856763237</v>
      </c>
      <c r="M21" s="7">
        <v>4.2174403054853933</v>
      </c>
      <c r="N21" s="7">
        <v>4.6482311263033065</v>
      </c>
      <c r="O21" s="7">
        <v>4.9963790874444012</v>
      </c>
      <c r="P21" s="7">
        <v>5.2761852046602016</v>
      </c>
      <c r="Q21" s="7">
        <v>5.5023946086763953</v>
      </c>
      <c r="R21" s="7">
        <v>5.6894231720890422</v>
      </c>
      <c r="S21" s="7">
        <v>5.8509700479715772</v>
      </c>
      <c r="T21" s="3">
        <v>6</v>
      </c>
      <c r="W21" s="3" t="s">
        <v>13</v>
      </c>
      <c r="X21" s="7">
        <f>(X19^2+X20^2)^0.5</f>
        <v>10</v>
      </c>
      <c r="Y21" s="7">
        <f t="shared" ref="Y21:AL21" si="32">(Y19^2+Y20^2)^0.5</f>
        <v>9.8582767720164544</v>
      </c>
      <c r="Z21" s="7">
        <f t="shared" si="32"/>
        <v>9.6756592318592016</v>
      </c>
      <c r="AA21" s="7">
        <f t="shared" si="32"/>
        <v>9.4096349982475758</v>
      </c>
      <c r="AB21" s="7">
        <f t="shared" si="32"/>
        <v>9.0239141568272974</v>
      </c>
      <c r="AC21" s="7">
        <f t="shared" si="32"/>
        <v>8.515565317869811</v>
      </c>
      <c r="AD21" s="7">
        <f t="shared" si="32"/>
        <v>7.948546603295723</v>
      </c>
      <c r="AE21" s="7">
        <f t="shared" si="32"/>
        <v>7.3892546913112511</v>
      </c>
      <c r="AF21" s="7">
        <f t="shared" si="32"/>
        <v>6.8790494772925292</v>
      </c>
      <c r="AG21" s="7">
        <f t="shared" si="32"/>
        <v>6.4349682002551312</v>
      </c>
      <c r="AH21" s="7">
        <f t="shared" si="32"/>
        <v>6.057856041978873</v>
      </c>
      <c r="AI21" s="7">
        <f t="shared" si="32"/>
        <v>5.7394576290018318</v>
      </c>
      <c r="AJ21" s="7">
        <f t="shared" si="32"/>
        <v>5.4669811826155001</v>
      </c>
      <c r="AK21" s="7">
        <f t="shared" si="32"/>
        <v>5.2256560493881921</v>
      </c>
      <c r="AL21" s="7">
        <f t="shared" si="32"/>
        <v>5</v>
      </c>
    </row>
    <row r="22" spans="4:38" x14ac:dyDescent="0.25">
      <c r="E22" s="5">
        <f t="shared" si="28"/>
        <v>1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7">
        <v>1.3274231931405813</v>
      </c>
      <c r="L22" s="7">
        <v>2.2350158287552464</v>
      </c>
      <c r="M22" s="7">
        <v>2.9186505221876624</v>
      </c>
      <c r="N22" s="7">
        <v>3.4503972282043409</v>
      </c>
      <c r="O22" s="7">
        <v>3.8666855239550633</v>
      </c>
      <c r="P22" s="7">
        <v>4.192802464744295</v>
      </c>
      <c r="Q22" s="7">
        <v>4.4505112819815364</v>
      </c>
      <c r="R22" s="7">
        <v>4.6594533729664782</v>
      </c>
      <c r="S22" s="7">
        <v>4.837278009772402</v>
      </c>
      <c r="T22" s="3">
        <v>5</v>
      </c>
      <c r="W22" s="3" t="s">
        <v>15</v>
      </c>
      <c r="X22" s="7">
        <f>B5</f>
        <v>101325</v>
      </c>
      <c r="Y22" s="7">
        <f>(X22+(X21^2)/2)-(Y21^2)/2</f>
        <v>101326.40718954316</v>
      </c>
      <c r="Z22" s="7">
        <f t="shared" ref="Z22:AL22" si="33">(Y22+(Y21^2)/2)-(Z21^2)/2</f>
        <v>101328.19080921447</v>
      </c>
      <c r="AA22" s="7">
        <f t="shared" si="33"/>
        <v>101330.72938459988</v>
      </c>
      <c r="AB22" s="7">
        <f t="shared" si="33"/>
        <v>101334.28448664511</v>
      </c>
      <c r="AC22" s="7">
        <f t="shared" si="33"/>
        <v>101338.74257365854</v>
      </c>
      <c r="AD22" s="7">
        <f t="shared" si="33"/>
        <v>101343.41030344761</v>
      </c>
      <c r="AE22" s="7">
        <f t="shared" si="33"/>
        <v>101347.69945755346</v>
      </c>
      <c r="AF22" s="7">
        <f t="shared" si="33"/>
        <v>101351.33933914448</v>
      </c>
      <c r="AG22" s="7">
        <f t="shared" si="33"/>
        <v>101354.29559213085</v>
      </c>
      <c r="AH22" s="7">
        <f t="shared" si="33"/>
        <v>101356.65119008733</v>
      </c>
      <c r="AI22" s="7">
        <f t="shared" si="33"/>
        <v>101358.52931306245</v>
      </c>
      <c r="AJ22" s="7">
        <f t="shared" si="33"/>
        <v>101360.05605837447</v>
      </c>
      <c r="AK22" s="7">
        <f t="shared" si="33"/>
        <v>101361.34625942675</v>
      </c>
      <c r="AL22" s="7">
        <f t="shared" si="33"/>
        <v>101362.5</v>
      </c>
    </row>
    <row r="23" spans="4:38" x14ac:dyDescent="0.25">
      <c r="E23" s="5">
        <f t="shared" si="28"/>
        <v>0.8</v>
      </c>
      <c r="K23" s="3">
        <v>0</v>
      </c>
      <c r="L23" s="7">
        <v>1.0016911459841729</v>
      </c>
      <c r="M23" s="7">
        <v>1.7717487723234222</v>
      </c>
      <c r="N23" s="7">
        <v>2.3680218004020603</v>
      </c>
      <c r="O23" s="7">
        <v>2.8271633796161399</v>
      </c>
      <c r="P23" s="7">
        <v>3.1778279143367341</v>
      </c>
      <c r="Q23" s="7">
        <v>3.4473947372538909</v>
      </c>
      <c r="R23" s="7">
        <v>3.6606010708649892</v>
      </c>
      <c r="S23" s="7">
        <v>3.8386886401185123</v>
      </c>
      <c r="T23" s="3">
        <v>4</v>
      </c>
      <c r="W23" s="3" t="s">
        <v>16</v>
      </c>
      <c r="X23" s="7">
        <f>(X22-$B$5)/(($X$10^2)/2)</f>
        <v>0</v>
      </c>
      <c r="Y23" s="7">
        <f t="shared" ref="Y23:AL23" si="34">(Y22-$B$5)/(($X$10^2)/2)</f>
        <v>2.8143790863105096E-2</v>
      </c>
      <c r="Z23" s="7">
        <f t="shared" si="34"/>
        <v>6.3816184289462397E-2</v>
      </c>
      <c r="AA23" s="7">
        <f t="shared" si="34"/>
        <v>0.11458769199758535</v>
      </c>
      <c r="AB23" s="7">
        <f t="shared" si="34"/>
        <v>0.18568973290210125</v>
      </c>
      <c r="AC23" s="7">
        <f t="shared" si="34"/>
        <v>0.27485147317085645</v>
      </c>
      <c r="AD23" s="7">
        <f t="shared" si="34"/>
        <v>0.36820606895227681</v>
      </c>
      <c r="AE23" s="7">
        <f t="shared" si="34"/>
        <v>0.45398915106925414</v>
      </c>
      <c r="AF23" s="7">
        <f t="shared" si="34"/>
        <v>0.52678678288968517</v>
      </c>
      <c r="AG23" s="7">
        <f t="shared" si="34"/>
        <v>0.5859118426169152</v>
      </c>
      <c r="AH23" s="7">
        <f t="shared" si="34"/>
        <v>0.63302380174660355</v>
      </c>
      <c r="AI23" s="7">
        <f t="shared" si="34"/>
        <v>0.67058626124897269</v>
      </c>
      <c r="AJ23" s="7">
        <f t="shared" si="34"/>
        <v>0.70112116748932751</v>
      </c>
      <c r="AK23" s="7">
        <f t="shared" si="34"/>
        <v>0.72692518853495125</v>
      </c>
      <c r="AL23" s="7">
        <f t="shared" si="34"/>
        <v>0.75</v>
      </c>
    </row>
    <row r="24" spans="4:38" x14ac:dyDescent="0.25">
      <c r="E24" s="5">
        <f t="shared" si="28"/>
        <v>0.60000000000000009</v>
      </c>
      <c r="L24" s="3">
        <v>0</v>
      </c>
      <c r="M24" s="7">
        <v>0.79863165596707897</v>
      </c>
      <c r="N24" s="7">
        <v>1.4227778691455795</v>
      </c>
      <c r="O24" s="7">
        <v>1.8961183376882007</v>
      </c>
      <c r="P24" s="7">
        <v>2.2439511326791068</v>
      </c>
      <c r="Q24" s="7">
        <v>2.5006387344439092</v>
      </c>
      <c r="R24" s="7">
        <v>2.6968675710597356</v>
      </c>
      <c r="S24" s="7">
        <v>2.8568755008645055</v>
      </c>
      <c r="T24" s="3">
        <v>3</v>
      </c>
    </row>
    <row r="25" spans="4:38" x14ac:dyDescent="0.25">
      <c r="E25" s="5">
        <f t="shared" si="28"/>
        <v>0.4</v>
      </c>
      <c r="M25" s="3">
        <v>0</v>
      </c>
      <c r="N25" s="7">
        <v>0.62833971629136132</v>
      </c>
      <c r="O25" s="7">
        <v>1.0905810115475707</v>
      </c>
      <c r="P25" s="7">
        <v>1.4012195910538192</v>
      </c>
      <c r="Q25" s="7">
        <v>1.6143415379003316</v>
      </c>
      <c r="R25" s="7">
        <v>1.7693550103445033</v>
      </c>
      <c r="S25" s="7">
        <v>1.8919458089999575</v>
      </c>
      <c r="T25" s="3">
        <v>2</v>
      </c>
    </row>
    <row r="26" spans="4:38" x14ac:dyDescent="0.25">
      <c r="E26" s="5">
        <f>E27+$B$2</f>
        <v>0.2</v>
      </c>
      <c r="N26" s="3">
        <v>0</v>
      </c>
      <c r="O26" s="7">
        <v>0.43664642827586675</v>
      </c>
      <c r="P26" s="7">
        <v>0.6560047123513989</v>
      </c>
      <c r="Q26" s="7">
        <v>0.78615284528695739</v>
      </c>
      <c r="R26" s="7">
        <v>0.8742651452667608</v>
      </c>
      <c r="S26" s="7">
        <v>0.94155273704516418</v>
      </c>
      <c r="T26" s="3">
        <v>1</v>
      </c>
    </row>
    <row r="27" spans="4:38" x14ac:dyDescent="0.25">
      <c r="E27" s="5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</row>
    <row r="28" spans="4:38" x14ac:dyDescent="0.25">
      <c r="F28" s="5">
        <v>0</v>
      </c>
      <c r="G28" s="5">
        <f>F28+$B$2</f>
        <v>0.2</v>
      </c>
      <c r="H28" s="5">
        <f t="shared" ref="H28:T28" si="35">G28+$B$2</f>
        <v>0.4</v>
      </c>
      <c r="I28" s="5">
        <f t="shared" si="35"/>
        <v>0.60000000000000009</v>
      </c>
      <c r="J28" s="5">
        <f t="shared" si="35"/>
        <v>0.8</v>
      </c>
      <c r="K28" s="5">
        <f t="shared" si="35"/>
        <v>1</v>
      </c>
      <c r="L28" s="5">
        <f t="shared" si="35"/>
        <v>1.2</v>
      </c>
      <c r="M28" s="5">
        <f t="shared" si="35"/>
        <v>1.4</v>
      </c>
      <c r="N28" s="5">
        <f t="shared" si="35"/>
        <v>1.5999999999999999</v>
      </c>
      <c r="O28" s="5">
        <f t="shared" si="35"/>
        <v>1.7999999999999998</v>
      </c>
      <c r="P28" s="5">
        <f t="shared" si="35"/>
        <v>1.9999999999999998</v>
      </c>
      <c r="Q28" s="5">
        <f t="shared" si="35"/>
        <v>2.1999999999999997</v>
      </c>
      <c r="R28" s="5">
        <f t="shared" si="35"/>
        <v>2.4</v>
      </c>
      <c r="S28" s="5">
        <f t="shared" si="35"/>
        <v>2.6</v>
      </c>
      <c r="T28" s="5">
        <f t="shared" si="35"/>
        <v>2.8000000000000003</v>
      </c>
    </row>
    <row r="30" spans="4:38" x14ac:dyDescent="0.25">
      <c r="D30" s="9" t="s">
        <v>11</v>
      </c>
      <c r="E30" s="5">
        <f t="shared" ref="E30:E38" si="36">E31+$B$2</f>
        <v>1.9999999999999998</v>
      </c>
      <c r="F30" s="11">
        <f>(F4-F5)/$B$2</f>
        <v>10</v>
      </c>
      <c r="G30" s="11">
        <f t="shared" ref="G30:T30" si="37">(G4-G5)/$B$2</f>
        <v>9.8582767720164544</v>
      </c>
      <c r="H30" s="11">
        <f t="shared" si="37"/>
        <v>9.6756592318592016</v>
      </c>
      <c r="I30" s="11">
        <f t="shared" si="37"/>
        <v>9.4096349982475758</v>
      </c>
      <c r="J30" s="11">
        <f t="shared" si="37"/>
        <v>9.0239141568272974</v>
      </c>
      <c r="K30" s="11">
        <f t="shared" si="37"/>
        <v>8.515565317869811</v>
      </c>
      <c r="L30" s="11">
        <f t="shared" si="37"/>
        <v>7.948546603295723</v>
      </c>
      <c r="M30" s="11">
        <f t="shared" si="37"/>
        <v>7.3892546913112511</v>
      </c>
      <c r="N30" s="11">
        <f t="shared" si="37"/>
        <v>6.8790494772925292</v>
      </c>
      <c r="O30" s="11">
        <f t="shared" si="37"/>
        <v>6.4349682002551312</v>
      </c>
      <c r="P30" s="11">
        <f t="shared" si="37"/>
        <v>6.057856041978873</v>
      </c>
      <c r="Q30" s="11">
        <f t="shared" si="37"/>
        <v>5.7394576290018318</v>
      </c>
      <c r="R30" s="11">
        <f t="shared" si="37"/>
        <v>5.4669811826155001</v>
      </c>
      <c r="S30" s="11">
        <f t="shared" si="37"/>
        <v>5.2256560493881921</v>
      </c>
      <c r="T30" s="11">
        <f t="shared" si="37"/>
        <v>5</v>
      </c>
    </row>
    <row r="31" spans="4:38" x14ac:dyDescent="0.25">
      <c r="E31" s="5">
        <f t="shared" si="36"/>
        <v>1.7999999999999998</v>
      </c>
      <c r="F31" s="7">
        <f>(F4-F6)/(2*$B$2)</f>
        <v>10</v>
      </c>
      <c r="G31" s="7">
        <f t="shared" ref="G31:T31" si="38">(G4-G6)/(2*$B$2)</f>
        <v>9.8787239236167252</v>
      </c>
      <c r="H31" s="7">
        <f t="shared" si="38"/>
        <v>9.7173625693778778</v>
      </c>
      <c r="I31" s="7">
        <f t="shared" si="38"/>
        <v>9.4694832864175051</v>
      </c>
      <c r="J31" s="7">
        <f t="shared" si="38"/>
        <v>9.0852281330404292</v>
      </c>
      <c r="K31" s="7">
        <f t="shared" si="38"/>
        <v>8.5449002232489324</v>
      </c>
      <c r="L31" s="7">
        <f t="shared" si="38"/>
        <v>7.9446831616277276</v>
      </c>
      <c r="M31" s="7">
        <f t="shared" si="38"/>
        <v>7.3647112920491749</v>
      </c>
      <c r="N31" s="7">
        <f t="shared" si="38"/>
        <v>6.8459874547724748</v>
      </c>
      <c r="O31" s="7">
        <f t="shared" si="38"/>
        <v>6.4014835830421575</v>
      </c>
      <c r="P31" s="7">
        <f t="shared" si="38"/>
        <v>6.02849911651687</v>
      </c>
      <c r="Q31" s="7">
        <f t="shared" si="38"/>
        <v>5.7164965990162475</v>
      </c>
      <c r="R31" s="7">
        <f t="shared" si="38"/>
        <v>5.4514054932223539</v>
      </c>
      <c r="S31" s="7">
        <f t="shared" si="38"/>
        <v>5.2178214895249342</v>
      </c>
      <c r="T31" s="7">
        <f t="shared" ref="T31" si="39">(T4-T6)/(2*$B$2)</f>
        <v>5</v>
      </c>
    </row>
    <row r="32" spans="4:38" x14ac:dyDescent="0.25">
      <c r="E32" s="5">
        <f t="shared" si="36"/>
        <v>1.5999999999999999</v>
      </c>
      <c r="F32" s="7">
        <f t="shared" ref="F32:S35" si="40">(F5-F7)/(2*$B$2)</f>
        <v>10</v>
      </c>
      <c r="G32" s="7">
        <f t="shared" si="40"/>
        <v>9.9392563459318968</v>
      </c>
      <c r="H32" s="7">
        <f t="shared" si="40"/>
        <v>9.8455838197317593</v>
      </c>
      <c r="I32" s="7">
        <f t="shared" si="40"/>
        <v>9.6657074194317794</v>
      </c>
      <c r="J32" s="7">
        <f t="shared" si="40"/>
        <v>9.3026148253897709</v>
      </c>
      <c r="K32" s="7">
        <f t="shared" si="40"/>
        <v>8.6341242252140216</v>
      </c>
      <c r="L32" s="7">
        <f t="shared" si="40"/>
        <v>7.9205744523190269</v>
      </c>
      <c r="M32" s="7">
        <f t="shared" si="40"/>
        <v>7.2789197716696208</v>
      </c>
      <c r="N32" s="7">
        <f t="shared" si="40"/>
        <v>6.7387053629641613</v>
      </c>
      <c r="O32" s="7">
        <f t="shared" si="40"/>
        <v>6.2964794567237226</v>
      </c>
      <c r="P32" s="7">
        <f t="shared" si="40"/>
        <v>5.938160139471349</v>
      </c>
      <c r="Q32" s="7">
        <f t="shared" si="40"/>
        <v>5.6466240728099937</v>
      </c>
      <c r="R32" s="7">
        <f t="shared" si="40"/>
        <v>5.4043226377018678</v>
      </c>
      <c r="S32" s="7">
        <f t="shared" si="40"/>
        <v>5.1942243829156887</v>
      </c>
      <c r="T32" s="7">
        <f t="shared" ref="T32" si="41">(T5-T7)/(2*$B$2)</f>
        <v>5</v>
      </c>
    </row>
    <row r="33" spans="4:20" x14ac:dyDescent="0.25">
      <c r="E33" s="5">
        <f t="shared" si="36"/>
        <v>1.4</v>
      </c>
      <c r="F33" s="7">
        <f t="shared" si="40"/>
        <v>10</v>
      </c>
      <c r="G33" s="7">
        <f t="shared" si="40"/>
        <v>10.032717637239429</v>
      </c>
      <c r="H33" s="7">
        <f t="shared" si="40"/>
        <v>10.060008937425554</v>
      </c>
      <c r="I33" s="7">
        <f t="shared" si="40"/>
        <v>10.045147733550127</v>
      </c>
      <c r="J33" s="7">
        <f t="shared" si="40"/>
        <v>9.8253995030254888</v>
      </c>
      <c r="K33" s="7">
        <f t="shared" si="40"/>
        <v>8.7684073640179037</v>
      </c>
      <c r="L33" s="7">
        <f t="shared" si="40"/>
        <v>7.8245706000899977</v>
      </c>
      <c r="M33" s="7">
        <f t="shared" si="40"/>
        <v>7.0916879109914355</v>
      </c>
      <c r="N33" s="7">
        <f t="shared" si="40"/>
        <v>6.5334346914286385</v>
      </c>
      <c r="O33" s="7">
        <f t="shared" si="40"/>
        <v>6.10756865598107</v>
      </c>
      <c r="P33" s="7">
        <f t="shared" si="40"/>
        <v>5.7810378321478462</v>
      </c>
      <c r="Q33" s="7">
        <f t="shared" si="40"/>
        <v>5.5275168436349276</v>
      </c>
      <c r="R33" s="7">
        <f t="shared" si="40"/>
        <v>5.3250365512446773</v>
      </c>
      <c r="S33" s="7">
        <f t="shared" si="40"/>
        <v>5.1547533766309535</v>
      </c>
      <c r="T33" s="7">
        <f t="shared" ref="T33" si="42">(T6-T8)/(2*$B$2)</f>
        <v>5</v>
      </c>
    </row>
    <row r="34" spans="4:20" x14ac:dyDescent="0.25">
      <c r="E34" s="5">
        <f t="shared" si="36"/>
        <v>1.2</v>
      </c>
      <c r="F34" s="7">
        <f t="shared" si="40"/>
        <v>10</v>
      </c>
      <c r="G34" s="7">
        <f t="shared" si="40"/>
        <v>10.131605268059875</v>
      </c>
      <c r="H34" s="7">
        <f t="shared" si="40"/>
        <v>10.316586564338639</v>
      </c>
      <c r="I34" s="7">
        <f t="shared" si="40"/>
        <v>10.629475081444433</v>
      </c>
      <c r="J34" s="7">
        <f t="shared" si="40"/>
        <v>11.185428096196578</v>
      </c>
      <c r="K34" s="7">
        <f t="shared" si="40"/>
        <v>8.7895351237590447</v>
      </c>
      <c r="L34" s="7">
        <f t="shared" si="40"/>
        <v>7.5176126541651485</v>
      </c>
      <c r="M34" s="7">
        <f t="shared" si="40"/>
        <v>6.7298265484445015</v>
      </c>
      <c r="N34" s="7">
        <f t="shared" si="40"/>
        <v>6.195776790359516</v>
      </c>
      <c r="O34" s="7">
        <f t="shared" si="40"/>
        <v>5.8193225931429753</v>
      </c>
      <c r="P34" s="7">
        <f t="shared" si="40"/>
        <v>5.5509056364557541</v>
      </c>
      <c r="Q34" s="7">
        <f t="shared" si="40"/>
        <v>5.3573688729134279</v>
      </c>
      <c r="R34" s="7">
        <f t="shared" si="40"/>
        <v>5.2135533117979005</v>
      </c>
      <c r="S34" s="7">
        <f t="shared" si="40"/>
        <v>5.0997525542298616</v>
      </c>
      <c r="T34" s="7">
        <f t="shared" ref="T34" si="43">(T7-T9)/(2*$B$2)</f>
        <v>5</v>
      </c>
    </row>
    <row r="35" spans="4:20" x14ac:dyDescent="0.25">
      <c r="E35" s="5">
        <f t="shared" si="36"/>
        <v>1</v>
      </c>
      <c r="F35" s="11">
        <f>(F8-F9)/($B$2)</f>
        <v>10</v>
      </c>
      <c r="G35" s="11">
        <f t="shared" ref="G35:S35" si="44">(G8-G9)/($B$2)</f>
        <v>10.177116878287686</v>
      </c>
      <c r="H35" s="11">
        <f t="shared" si="44"/>
        <v>10.445256986393131</v>
      </c>
      <c r="I35" s="11">
        <f t="shared" si="44"/>
        <v>10.970737960064731</v>
      </c>
      <c r="J35" s="11">
        <f t="shared" si="44"/>
        <v>12.17874472786816</v>
      </c>
      <c r="K35" s="7">
        <f t="shared" si="40"/>
        <v>7.6866924127331622</v>
      </c>
      <c r="L35" s="7">
        <f t="shared" ref="L35:S35" si="45">(L8-L10)/(2*$B$2)</f>
        <v>6.7265183626081058</v>
      </c>
      <c r="M35" s="7">
        <f t="shared" si="45"/>
        <v>6.1142288441212793</v>
      </c>
      <c r="N35" s="7">
        <f t="shared" si="45"/>
        <v>5.7005233229929582</v>
      </c>
      <c r="O35" s="7">
        <f t="shared" si="45"/>
        <v>5.4230392757379846</v>
      </c>
      <c r="P35" s="7">
        <f t="shared" si="45"/>
        <v>5.2458932299018874</v>
      </c>
      <c r="Q35" s="7">
        <f t="shared" si="45"/>
        <v>5.1374996813318434</v>
      </c>
      <c r="R35" s="7">
        <f t="shared" si="45"/>
        <v>5.0720552546588324</v>
      </c>
      <c r="S35" s="7">
        <f t="shared" si="45"/>
        <v>5.0307035204054262</v>
      </c>
      <c r="T35" s="7">
        <f t="shared" ref="T35" si="46">(T8-T10)/(2*$B$2)</f>
        <v>5</v>
      </c>
    </row>
    <row r="36" spans="4:20" x14ac:dyDescent="0.25">
      <c r="E36" s="5">
        <f t="shared" si="36"/>
        <v>0.8</v>
      </c>
      <c r="F36" s="4"/>
      <c r="G36" s="4"/>
      <c r="H36" s="4"/>
      <c r="I36" s="4"/>
      <c r="J36" s="4"/>
      <c r="K36" s="11">
        <f>(K9-K10)/$B$2</f>
        <v>6.6371159841840539</v>
      </c>
      <c r="L36" s="7">
        <f t="shared" ref="L36:S36" si="47">(L9-L11)/(2*$B$2)</f>
        <v>5.5875395918679622</v>
      </c>
      <c r="M36" s="7">
        <f t="shared" si="47"/>
        <v>5.3000471833121248</v>
      </c>
      <c r="N36" s="7">
        <f t="shared" si="47"/>
        <v>5.0690484140621193</v>
      </c>
      <c r="O36" s="7">
        <f t="shared" si="47"/>
        <v>4.9264179793879874</v>
      </c>
      <c r="P36" s="7">
        <f t="shared" si="47"/>
        <v>4.8721283421317958</v>
      </c>
      <c r="Q36" s="7">
        <f t="shared" si="47"/>
        <v>4.8746813779674962</v>
      </c>
      <c r="R36" s="7">
        <f t="shared" si="47"/>
        <v>4.9064645113687888</v>
      </c>
      <c r="S36" s="7">
        <f t="shared" si="47"/>
        <v>4.9510062755489743</v>
      </c>
      <c r="T36" s="7">
        <f t="shared" ref="T36" si="48">(T9-T11)/(2*$B$2)</f>
        <v>5</v>
      </c>
    </row>
    <row r="37" spans="4:20" x14ac:dyDescent="0.25">
      <c r="E37" s="5">
        <f t="shared" si="36"/>
        <v>0.60000000000000009</v>
      </c>
      <c r="F37" s="4"/>
      <c r="G37" s="4"/>
      <c r="H37" s="4"/>
      <c r="I37" s="4"/>
      <c r="J37" s="4"/>
      <c r="K37" s="4"/>
      <c r="L37" s="11">
        <f>(L10-L11)/$B$2</f>
        <v>5.0084557513483352</v>
      </c>
      <c r="M37" s="7">
        <f t="shared" ref="M37:S37" si="49">(M10-M12)/(2*$B$2)</f>
        <v>4.4293719528381086</v>
      </c>
      <c r="N37" s="7">
        <f t="shared" si="49"/>
        <v>4.349205230372708</v>
      </c>
      <c r="O37" s="7">
        <f t="shared" si="49"/>
        <v>4.3414559394205057</v>
      </c>
      <c r="P37" s="7">
        <f t="shared" si="49"/>
        <v>4.4415208248843907</v>
      </c>
      <c r="Q37" s="7">
        <f t="shared" si="49"/>
        <v>4.5826330128112378</v>
      </c>
      <c r="R37" s="7">
        <f t="shared" si="49"/>
        <v>4.728115161357394</v>
      </c>
      <c r="S37" s="7">
        <f t="shared" si="49"/>
        <v>4.866857083279827</v>
      </c>
      <c r="T37" s="7">
        <f t="shared" ref="T37" si="50">(T10-T12)/(2*$B$2)</f>
        <v>5</v>
      </c>
    </row>
    <row r="38" spans="4:20" x14ac:dyDescent="0.25">
      <c r="E38" s="5">
        <f t="shared" si="36"/>
        <v>0.4</v>
      </c>
      <c r="F38" s="4"/>
      <c r="G38" s="4"/>
      <c r="H38" s="4"/>
      <c r="I38" s="4"/>
      <c r="J38" s="4"/>
      <c r="K38" s="4"/>
      <c r="L38" s="4"/>
      <c r="M38" s="11">
        <f>(M11-M12)/$B$2</f>
        <v>3.9931583018362518</v>
      </c>
      <c r="N38" s="7">
        <f t="shared" ref="N38:S38" si="51">(N11-N13)/(2*$B$2)</f>
        <v>3.5569446939679383</v>
      </c>
      <c r="O38" s="7">
        <f t="shared" si="51"/>
        <v>3.6486797931808916</v>
      </c>
      <c r="P38" s="7">
        <f t="shared" si="51"/>
        <v>3.9698660705662623</v>
      </c>
      <c r="Q38" s="7">
        <f t="shared" si="51"/>
        <v>4.2862147396091084</v>
      </c>
      <c r="R38" s="7">
        <f t="shared" si="51"/>
        <v>4.556506077400801</v>
      </c>
      <c r="S38" s="7">
        <f t="shared" si="51"/>
        <v>4.7883069161946796</v>
      </c>
      <c r="T38" s="7">
        <f t="shared" ref="T38" si="52">(T11-T13)/(2*$B$2)</f>
        <v>5</v>
      </c>
    </row>
    <row r="39" spans="4:20" x14ac:dyDescent="0.25">
      <c r="E39" s="5">
        <f>E40+$B$2</f>
        <v>0.2</v>
      </c>
      <c r="F39" s="4"/>
      <c r="G39" s="4"/>
      <c r="H39" s="4"/>
      <c r="I39" s="4"/>
      <c r="J39" s="4"/>
      <c r="K39" s="4"/>
      <c r="L39" s="4"/>
      <c r="M39" s="4"/>
      <c r="N39" s="11">
        <f>(N12-N13)/$B$2</f>
        <v>3.1416986008664374</v>
      </c>
      <c r="O39" s="7">
        <f t="shared" ref="O39:S39" si="53">(O12-O14)/(2*$B$2)</f>
        <v>2.72645254581828</v>
      </c>
      <c r="P39" s="7">
        <f t="shared" si="53"/>
        <v>3.5030489965490044</v>
      </c>
      <c r="Q39" s="7">
        <f t="shared" si="53"/>
        <v>4.0358538632057428</v>
      </c>
      <c r="R39" s="7">
        <f t="shared" si="53"/>
        <v>4.4233875395167406</v>
      </c>
      <c r="S39" s="7">
        <f t="shared" si="53"/>
        <v>4.7298645301588582</v>
      </c>
      <c r="T39" s="7">
        <f t="shared" ref="T39" si="54">(T12-T14)/(2*$B$2)</f>
        <v>5</v>
      </c>
    </row>
    <row r="40" spans="4:20" x14ac:dyDescent="0.25">
      <c r="E40" s="5">
        <v>0</v>
      </c>
      <c r="F40" s="4"/>
      <c r="G40" s="4"/>
      <c r="H40" s="4"/>
      <c r="I40" s="4"/>
      <c r="J40" s="4"/>
      <c r="K40" s="4"/>
      <c r="L40" s="4"/>
      <c r="M40" s="4"/>
      <c r="N40" s="4"/>
      <c r="O40" s="11">
        <f>(O13-O14)/$B$2</f>
        <v>2.1832321548737119</v>
      </c>
      <c r="P40" s="11">
        <f t="shared" ref="P40:S40" si="55">(P13-P14)/$B$2</f>
        <v>3.2800235807708038</v>
      </c>
      <c r="Q40" s="11">
        <f t="shared" si="55"/>
        <v>3.9307642443981137</v>
      </c>
      <c r="R40" s="11">
        <f t="shared" si="55"/>
        <v>4.3713257408457808</v>
      </c>
      <c r="S40" s="11">
        <f t="shared" si="55"/>
        <v>4.7077636928333977</v>
      </c>
      <c r="T40" s="11">
        <f t="shared" ref="T40" si="56">(T13-T14)/$B$2</f>
        <v>5</v>
      </c>
    </row>
    <row r="41" spans="4:20" x14ac:dyDescent="0.25">
      <c r="F41" s="5">
        <v>0</v>
      </c>
      <c r="G41" s="5">
        <f>F41+$B$2</f>
        <v>0.2</v>
      </c>
      <c r="H41" s="5">
        <f t="shared" ref="H41:T41" si="57">G41+$B$2</f>
        <v>0.4</v>
      </c>
      <c r="I41" s="5">
        <f t="shared" si="57"/>
        <v>0.60000000000000009</v>
      </c>
      <c r="J41" s="5">
        <f t="shared" si="57"/>
        <v>0.8</v>
      </c>
      <c r="K41" s="5">
        <f t="shared" si="57"/>
        <v>1</v>
      </c>
      <c r="L41" s="5">
        <f t="shared" si="57"/>
        <v>1.2</v>
      </c>
      <c r="M41" s="5">
        <f t="shared" si="57"/>
        <v>1.4</v>
      </c>
      <c r="N41" s="5">
        <f t="shared" si="57"/>
        <v>1.5999999999999999</v>
      </c>
      <c r="O41" s="5">
        <f t="shared" si="57"/>
        <v>1.7999999999999998</v>
      </c>
      <c r="P41" s="5">
        <f t="shared" si="57"/>
        <v>1.9999999999999998</v>
      </c>
      <c r="Q41" s="5">
        <f t="shared" si="57"/>
        <v>2.1999999999999997</v>
      </c>
      <c r="R41" s="5">
        <f t="shared" si="57"/>
        <v>2.4</v>
      </c>
      <c r="S41" s="5">
        <f t="shared" si="57"/>
        <v>2.6</v>
      </c>
      <c r="T41" s="5">
        <f t="shared" si="57"/>
        <v>2.8000000000000003</v>
      </c>
    </row>
    <row r="43" spans="4:20" x14ac:dyDescent="0.25">
      <c r="D43" s="9" t="s">
        <v>12</v>
      </c>
      <c r="E43" s="5">
        <f t="shared" ref="E43:E51" si="58">E44+$B$2</f>
        <v>1.9999999999999998</v>
      </c>
      <c r="F43" s="11">
        <f>-(G4-F4)/$B$2</f>
        <v>0</v>
      </c>
      <c r="G43" s="11">
        <f>-(H4-F4)/(2*$B$2)</f>
        <v>0</v>
      </c>
      <c r="H43" s="11">
        <f t="shared" ref="H43:S43" si="59">-(I4-G4)/(2*$B$2)</f>
        <v>0</v>
      </c>
      <c r="I43" s="11">
        <f t="shared" si="59"/>
        <v>0</v>
      </c>
      <c r="J43" s="11">
        <f t="shared" si="59"/>
        <v>0</v>
      </c>
      <c r="K43" s="11">
        <f t="shared" si="59"/>
        <v>0</v>
      </c>
      <c r="L43" s="11">
        <f t="shared" si="59"/>
        <v>0</v>
      </c>
      <c r="M43" s="11">
        <f t="shared" si="59"/>
        <v>0</v>
      </c>
      <c r="N43" s="11">
        <f t="shared" si="59"/>
        <v>0</v>
      </c>
      <c r="O43" s="11">
        <f t="shared" si="59"/>
        <v>0</v>
      </c>
      <c r="P43" s="11">
        <f t="shared" si="59"/>
        <v>0</v>
      </c>
      <c r="Q43" s="11">
        <f t="shared" si="59"/>
        <v>0</v>
      </c>
      <c r="R43" s="11">
        <f t="shared" si="59"/>
        <v>0</v>
      </c>
      <c r="S43" s="11">
        <f t="shared" si="59"/>
        <v>0</v>
      </c>
      <c r="T43" s="11">
        <f>-(T4-S4)/($B$2)</f>
        <v>0</v>
      </c>
    </row>
    <row r="44" spans="4:20" x14ac:dyDescent="0.25">
      <c r="E44" s="5">
        <f t="shared" si="58"/>
        <v>1.7999999999999998</v>
      </c>
      <c r="F44" s="7">
        <f t="shared" ref="F44:G48" si="60">-(G5-F5)/$B$2</f>
        <v>-0.14172322798354564</v>
      </c>
      <c r="G44" s="7">
        <f>-(H5-F5)/(2*$B$2)</f>
        <v>-0.16217038407039919</v>
      </c>
      <c r="H44" s="7">
        <f t="shared" ref="H44:S44" si="61">-(I5-G5)/(2*$B$2)</f>
        <v>-0.2243208868844393</v>
      </c>
      <c r="I44" s="7">
        <f t="shared" si="61"/>
        <v>-0.32587253751595213</v>
      </c>
      <c r="J44" s="7">
        <f t="shared" si="61"/>
        <v>-0.4470348401888824</v>
      </c>
      <c r="K44" s="7">
        <f t="shared" si="61"/>
        <v>-0.53768377676578716</v>
      </c>
      <c r="L44" s="7">
        <f t="shared" si="61"/>
        <v>-0.56315531327927992</v>
      </c>
      <c r="M44" s="7">
        <f t="shared" si="61"/>
        <v>-0.5347485630015969</v>
      </c>
      <c r="N44" s="7">
        <f t="shared" si="61"/>
        <v>-0.47714324552805998</v>
      </c>
      <c r="O44" s="7">
        <f t="shared" si="61"/>
        <v>-0.41059671765682815</v>
      </c>
      <c r="P44" s="7">
        <f t="shared" si="61"/>
        <v>-0.3477552856266497</v>
      </c>
      <c r="Q44" s="7">
        <f t="shared" si="61"/>
        <v>-0.2954374296816864</v>
      </c>
      <c r="R44" s="7">
        <f t="shared" si="61"/>
        <v>-0.25690078980681985</v>
      </c>
      <c r="S44" s="7">
        <f t="shared" si="61"/>
        <v>-0.23349059130775007</v>
      </c>
      <c r="T44" s="7">
        <f t="shared" ref="T44:T53" si="62">-(T5-S5)/($B$2)</f>
        <v>-0.22565604938819206</v>
      </c>
    </row>
    <row r="45" spans="4:20" x14ac:dyDescent="0.25">
      <c r="E45" s="5">
        <f t="shared" si="58"/>
        <v>1.5999999999999999</v>
      </c>
      <c r="F45" s="7">
        <f t="shared" si="60"/>
        <v>-0.24255215276654862</v>
      </c>
      <c r="G45" s="7">
        <f t="shared" ref="G45:S50" si="63">-(H6-F6)/(2*$B$2)</f>
        <v>-0.28263743062212132</v>
      </c>
      <c r="H45" s="7">
        <f t="shared" si="63"/>
        <v>-0.40924063719921966</v>
      </c>
      <c r="I45" s="7">
        <f t="shared" si="63"/>
        <v>-0.63213443633744815</v>
      </c>
      <c r="J45" s="7">
        <f t="shared" si="63"/>
        <v>-0.92458306316857364</v>
      </c>
      <c r="K45" s="7">
        <f t="shared" si="63"/>
        <v>-1.1405449714127025</v>
      </c>
      <c r="L45" s="7">
        <f t="shared" si="63"/>
        <v>-1.1801889311997571</v>
      </c>
      <c r="M45" s="7">
        <f t="shared" si="63"/>
        <v>-1.0986957068552528</v>
      </c>
      <c r="N45" s="7">
        <f t="shared" si="63"/>
        <v>-0.96322770900701737</v>
      </c>
      <c r="O45" s="7">
        <f t="shared" si="63"/>
        <v>-0.8174883382556053</v>
      </c>
      <c r="P45" s="7">
        <f t="shared" si="63"/>
        <v>-0.68498698402591041</v>
      </c>
      <c r="Q45" s="7">
        <f t="shared" si="63"/>
        <v>-0.57709362329451563</v>
      </c>
      <c r="R45" s="7">
        <f t="shared" si="63"/>
        <v>-0.49867510949131333</v>
      </c>
      <c r="S45" s="7">
        <f t="shared" si="63"/>
        <v>-0.45140549322235435</v>
      </c>
      <c r="T45" s="7">
        <f t="shared" si="62"/>
        <v>-0.43564297904986837</v>
      </c>
    </row>
    <row r="46" spans="4:20" x14ac:dyDescent="0.25">
      <c r="E46" s="5">
        <f t="shared" si="58"/>
        <v>1.4</v>
      </c>
      <c r="F46" s="7">
        <f t="shared" si="60"/>
        <v>-0.2632105361197512</v>
      </c>
      <c r="G46" s="7">
        <f t="shared" si="63"/>
        <v>-0.31658656433863896</v>
      </c>
      <c r="H46" s="7">
        <f t="shared" si="63"/>
        <v>-0.49786981338455716</v>
      </c>
      <c r="I46" s="7">
        <f t="shared" si="63"/>
        <v>-0.86884153185794011</v>
      </c>
      <c r="J46" s="7">
        <f t="shared" si="63"/>
        <v>-1.4786180344066402</v>
      </c>
      <c r="K46" s="7">
        <f t="shared" si="63"/>
        <v>-1.9197241498365325</v>
      </c>
      <c r="L46" s="7">
        <f t="shared" si="63"/>
        <v>-1.9183597668236807</v>
      </c>
      <c r="M46" s="7">
        <f t="shared" si="63"/>
        <v>-1.7166176523564625</v>
      </c>
      <c r="N46" s="7">
        <f t="shared" si="63"/>
        <v>-1.4595835604739582</v>
      </c>
      <c r="O46" s="7">
        <f t="shared" si="63"/>
        <v>-1.2111419411496405</v>
      </c>
      <c r="P46" s="7">
        <f t="shared" si="63"/>
        <v>-0.99761066954037858</v>
      </c>
      <c r="Q46" s="7">
        <f t="shared" si="63"/>
        <v>-0.82927493145116715</v>
      </c>
      <c r="R46" s="7">
        <f t="shared" si="63"/>
        <v>-0.70930047970112486</v>
      </c>
      <c r="S46" s="7">
        <f t="shared" si="63"/>
        <v>-0.63781322900961834</v>
      </c>
      <c r="T46" s="7">
        <f t="shared" si="62"/>
        <v>-0.61410481521956939</v>
      </c>
    </row>
    <row r="47" spans="4:20" x14ac:dyDescent="0.25">
      <c r="E47" s="5">
        <f t="shared" si="58"/>
        <v>1.2</v>
      </c>
      <c r="F47" s="7">
        <f t="shared" si="60"/>
        <v>-0.17711687828768641</v>
      </c>
      <c r="G47" s="7">
        <f t="shared" si="63"/>
        <v>-0.22262849319656608</v>
      </c>
      <c r="H47" s="7">
        <f t="shared" si="63"/>
        <v>-0.39681054088852252</v>
      </c>
      <c r="I47" s="7">
        <f t="shared" si="63"/>
        <v>-0.86674387073751413</v>
      </c>
      <c r="J47" s="7">
        <f t="shared" si="63"/>
        <v>-2.2013234327007969</v>
      </c>
      <c r="K47" s="7">
        <f t="shared" si="63"/>
        <v>-3.1413738743481932</v>
      </c>
      <c r="L47" s="7">
        <f t="shared" si="63"/>
        <v>-2.8569083842262266</v>
      </c>
      <c r="M47" s="7">
        <f t="shared" si="63"/>
        <v>-2.3898316155166119</v>
      </c>
      <c r="N47" s="7">
        <f t="shared" si="63"/>
        <v>-1.9473469640173824</v>
      </c>
      <c r="O47" s="7">
        <f t="shared" si="63"/>
        <v>-1.5698851975363981</v>
      </c>
      <c r="P47" s="7">
        <f t="shared" si="63"/>
        <v>-1.2650387963720533</v>
      </c>
      <c r="Q47" s="7">
        <f t="shared" si="63"/>
        <v>-1.0330949041976845</v>
      </c>
      <c r="R47" s="7">
        <f t="shared" si="63"/>
        <v>-0.871438576495287</v>
      </c>
      <c r="S47" s="7">
        <f t="shared" si="63"/>
        <v>-0.77644204446703169</v>
      </c>
      <c r="T47" s="7">
        <f t="shared" si="62"/>
        <v>-0.74514973231177617</v>
      </c>
    </row>
    <row r="48" spans="4:20" x14ac:dyDescent="0.25">
      <c r="E48" s="5">
        <f t="shared" si="58"/>
        <v>1</v>
      </c>
      <c r="F48" s="11">
        <f t="shared" si="60"/>
        <v>0</v>
      </c>
      <c r="G48" s="11">
        <f t="shared" si="63"/>
        <v>0</v>
      </c>
      <c r="H48" s="11">
        <f t="shared" si="63"/>
        <v>0</v>
      </c>
      <c r="I48" s="11">
        <f t="shared" si="63"/>
        <v>0</v>
      </c>
      <c r="J48" s="11">
        <f t="shared" si="63"/>
        <v>-3.318557992092027</v>
      </c>
      <c r="K48" s="7">
        <f t="shared" si="63"/>
        <v>-5.5875395918679622</v>
      </c>
      <c r="L48" s="7">
        <f t="shared" si="63"/>
        <v>-3.9780683421382244</v>
      </c>
      <c r="M48" s="7">
        <f t="shared" si="63"/>
        <v>-3.0384535161620949</v>
      </c>
      <c r="N48" s="7">
        <f t="shared" si="63"/>
        <v>-2.3700875157754839</v>
      </c>
      <c r="O48" s="7">
        <f t="shared" si="63"/>
        <v>-1.8560130950534026</v>
      </c>
      <c r="P48" s="7">
        <f t="shared" si="63"/>
        <v>-1.4595643897699262</v>
      </c>
      <c r="Q48" s="7">
        <f t="shared" si="63"/>
        <v>-1.1666272561090207</v>
      </c>
      <c r="R48" s="7">
        <f t="shared" si="63"/>
        <v>-0.96691679838469158</v>
      </c>
      <c r="S48" s="7">
        <f t="shared" si="63"/>
        <v>-0.85136654080751883</v>
      </c>
      <c r="T48" s="7">
        <f t="shared" si="62"/>
        <v>-0.81360992367929263</v>
      </c>
    </row>
    <row r="49" spans="4:20" x14ac:dyDescent="0.25">
      <c r="E49" s="5">
        <f t="shared" si="58"/>
        <v>0.8</v>
      </c>
      <c r="F49" s="4"/>
      <c r="G49" s="4"/>
      <c r="H49" s="4"/>
      <c r="I49" s="4"/>
      <c r="J49" s="4"/>
      <c r="K49" s="11">
        <f>-(L10-K10)/$B$2</f>
        <v>-5.0084557513483352</v>
      </c>
      <c r="L49" s="7">
        <f t="shared" si="63"/>
        <v>-4.4293719528381086</v>
      </c>
      <c r="M49" s="7">
        <f t="shared" si="63"/>
        <v>-3.4158266551317595</v>
      </c>
      <c r="N49" s="7">
        <f t="shared" ref="N49" si="64">-(O10-M10)/(2*$B$2)</f>
        <v>-2.6385365324006771</v>
      </c>
      <c r="O49" s="7">
        <f t="shared" ref="O49:R49" si="65">-(P10-N10)/(2*$B$2)</f>
        <v>-2.0245152906274688</v>
      </c>
      <c r="P49" s="7">
        <f t="shared" si="65"/>
        <v>-1.5505783907781945</v>
      </c>
      <c r="Q49" s="7">
        <f t="shared" si="65"/>
        <v>-1.2069328794407397</v>
      </c>
      <c r="R49" s="7">
        <f t="shared" si="65"/>
        <v>-0.97823473742170486</v>
      </c>
      <c r="S49" s="7">
        <f t="shared" ref="S49" si="66">-(T10-R10)/(2*$B$2)</f>
        <v>-0.84849729912586436</v>
      </c>
      <c r="T49" s="7">
        <f t="shared" si="62"/>
        <v>-0.80655677312262863</v>
      </c>
    </row>
    <row r="50" spans="4:20" x14ac:dyDescent="0.25">
      <c r="E50" s="5">
        <f t="shared" si="58"/>
        <v>0.60000000000000009</v>
      </c>
      <c r="F50" s="4"/>
      <c r="G50" s="4"/>
      <c r="H50" s="4"/>
      <c r="I50" s="4"/>
      <c r="J50" s="4"/>
      <c r="K50" s="4"/>
      <c r="L50" s="11">
        <f>-(M11-L11)/$B$2</f>
        <v>-3.9931583018362518</v>
      </c>
      <c r="M50" s="7">
        <f t="shared" si="63"/>
        <v>-3.5569446939679383</v>
      </c>
      <c r="N50" s="7">
        <f t="shared" ref="N50" si="67">-(O11-M11)/(2*$B$2)</f>
        <v>-2.7437167196996213</v>
      </c>
      <c r="O50" s="7">
        <f t="shared" ref="O50:R50" si="68">-(P11-N11)/(2*$B$2)</f>
        <v>-2.0529331669837259</v>
      </c>
      <c r="P50" s="7">
        <f t="shared" si="68"/>
        <v>-1.5113009911904174</v>
      </c>
      <c r="Q50" s="7">
        <f t="shared" si="68"/>
        <v>-1.1322910868720282</v>
      </c>
      <c r="R50" s="7">
        <f t="shared" si="68"/>
        <v>-0.89059190080321371</v>
      </c>
      <c r="S50" s="7">
        <f t="shared" ref="S50" si="69">-(T11-R11)/(2*$B$2)</f>
        <v>-0.75783105217630764</v>
      </c>
      <c r="T50" s="7">
        <f t="shared" si="62"/>
        <v>-0.71562247477724217</v>
      </c>
    </row>
    <row r="51" spans="4:20" x14ac:dyDescent="0.25">
      <c r="E51" s="5">
        <f t="shared" si="58"/>
        <v>0.4</v>
      </c>
      <c r="F51" s="4"/>
      <c r="G51" s="4"/>
      <c r="H51" s="4"/>
      <c r="I51" s="4"/>
      <c r="J51" s="4"/>
      <c r="K51" s="4"/>
      <c r="L51" s="4"/>
      <c r="M51" s="11">
        <f>-(N12-M12)/$B$2</f>
        <v>-3.1416986008664374</v>
      </c>
      <c r="N51" s="7">
        <f t="shared" ref="N51" si="70">-(O12-M12)/(2*$B$2)</f>
        <v>-2.72645254581828</v>
      </c>
      <c r="O51" s="7">
        <f t="shared" ref="O51:R51" si="71">-(P12-N12)/(2*$B$2)</f>
        <v>-1.9321996961157857</v>
      </c>
      <c r="P51" s="7">
        <f t="shared" si="71"/>
        <v>-1.3094013173874623</v>
      </c>
      <c r="Q51" s="7">
        <f t="shared" si="71"/>
        <v>-0.92033854296773632</v>
      </c>
      <c r="R51" s="7">
        <f t="shared" si="71"/>
        <v>-0.69401066695311542</v>
      </c>
      <c r="S51" s="7">
        <f t="shared" ref="S51" si="72">-(T12-R12)/(2*$B$2)</f>
        <v>-0.57661246048325898</v>
      </c>
      <c r="T51" s="7">
        <f t="shared" si="62"/>
        <v>-0.54027093968228357</v>
      </c>
    </row>
    <row r="52" spans="4:20" x14ac:dyDescent="0.25">
      <c r="E52" s="5">
        <f>E53+$B$2</f>
        <v>0.2</v>
      </c>
      <c r="F52" s="4"/>
      <c r="G52" s="4"/>
      <c r="H52" s="4"/>
      <c r="I52" s="4"/>
      <c r="J52" s="4"/>
      <c r="K52" s="4"/>
      <c r="L52" s="4"/>
      <c r="M52" s="4"/>
      <c r="N52" s="11">
        <f>-(O13-N13)/$B$2</f>
        <v>-2.1832321548737119</v>
      </c>
      <c r="O52" s="7">
        <f t="shared" ref="O52:R52" si="73">-(P13-N13)/(2*$B$2)</f>
        <v>-1.6400117903854019</v>
      </c>
      <c r="P52" s="7">
        <f t="shared" si="73"/>
        <v>-0.87376604476220088</v>
      </c>
      <c r="Q52" s="7">
        <f t="shared" si="73"/>
        <v>-0.54565108003748863</v>
      </c>
      <c r="R52" s="7">
        <f t="shared" si="73"/>
        <v>-0.3884997242176419</v>
      </c>
      <c r="S52" s="7">
        <f t="shared" ref="S52" si="74">-(T13-R13)/(2*$B$2)</f>
        <v>-0.31433712957710941</v>
      </c>
      <c r="T52" s="7">
        <f t="shared" si="62"/>
        <v>-0.29223630716660232</v>
      </c>
    </row>
    <row r="53" spans="4:20" x14ac:dyDescent="0.25">
      <c r="E53" s="5">
        <v>0</v>
      </c>
      <c r="F53" s="4"/>
      <c r="G53" s="4"/>
      <c r="H53" s="4"/>
      <c r="I53" s="4"/>
      <c r="J53" s="4"/>
      <c r="K53" s="4"/>
      <c r="L53" s="4"/>
      <c r="M53" s="4"/>
      <c r="N53" s="4"/>
      <c r="O53" s="11">
        <f t="shared" ref="O53:R53" si="75">-(P14-N14)/(2*$B$2)</f>
        <v>0</v>
      </c>
      <c r="P53" s="11">
        <f t="shared" si="75"/>
        <v>0</v>
      </c>
      <c r="Q53" s="11">
        <f t="shared" si="75"/>
        <v>0</v>
      </c>
      <c r="R53" s="11">
        <f t="shared" si="75"/>
        <v>0</v>
      </c>
      <c r="S53" s="11">
        <f t="shared" ref="S53" si="76">-(T14-R14)/(2*$B$2)</f>
        <v>0</v>
      </c>
      <c r="T53" s="11">
        <f t="shared" si="62"/>
        <v>0</v>
      </c>
    </row>
    <row r="54" spans="4:20" x14ac:dyDescent="0.25">
      <c r="F54" s="5">
        <v>0</v>
      </c>
      <c r="G54" s="5">
        <f>F54+$B$2</f>
        <v>0.2</v>
      </c>
      <c r="H54" s="5">
        <f t="shared" ref="H54:T54" si="77">G54+$B$2</f>
        <v>0.4</v>
      </c>
      <c r="I54" s="5">
        <f t="shared" si="77"/>
        <v>0.60000000000000009</v>
      </c>
      <c r="J54" s="5">
        <f t="shared" si="77"/>
        <v>0.8</v>
      </c>
      <c r="K54" s="5">
        <f t="shared" si="77"/>
        <v>1</v>
      </c>
      <c r="L54" s="5">
        <f t="shared" si="77"/>
        <v>1.2</v>
      </c>
      <c r="M54" s="5">
        <f t="shared" si="77"/>
        <v>1.4</v>
      </c>
      <c r="N54" s="5">
        <f t="shared" si="77"/>
        <v>1.5999999999999999</v>
      </c>
      <c r="O54" s="5">
        <f t="shared" si="77"/>
        <v>1.7999999999999998</v>
      </c>
      <c r="P54" s="5">
        <f t="shared" si="77"/>
        <v>1.9999999999999998</v>
      </c>
      <c r="Q54" s="5">
        <f t="shared" si="77"/>
        <v>2.1999999999999997</v>
      </c>
      <c r="R54" s="5">
        <f t="shared" si="77"/>
        <v>2.4</v>
      </c>
      <c r="S54" s="5">
        <f t="shared" si="77"/>
        <v>2.6</v>
      </c>
      <c r="T54" s="5">
        <f t="shared" si="77"/>
        <v>2.8000000000000003</v>
      </c>
    </row>
    <row r="56" spans="4:20" x14ac:dyDescent="0.25">
      <c r="D56" s="9" t="s">
        <v>13</v>
      </c>
      <c r="E56" s="5">
        <f t="shared" ref="E56:E64" si="78">E57+$B$2</f>
        <v>1.9999999999999998</v>
      </c>
      <c r="F56" s="11">
        <f>(F30^2+F43^2)^(0.5)</f>
        <v>10</v>
      </c>
      <c r="G56" s="11">
        <f>(G30^2+G43^2)^(0.5)</f>
        <v>9.8582767720164544</v>
      </c>
      <c r="H56" s="11">
        <f t="shared" ref="H56:T56" si="79">(H30^2+H43^2)^(0.5)</f>
        <v>9.6756592318592016</v>
      </c>
      <c r="I56" s="11">
        <f t="shared" si="79"/>
        <v>9.4096349982475758</v>
      </c>
      <c r="J56" s="11">
        <f t="shared" si="79"/>
        <v>9.0239141568272974</v>
      </c>
      <c r="K56" s="11">
        <f t="shared" si="79"/>
        <v>8.515565317869811</v>
      </c>
      <c r="L56" s="11">
        <f t="shared" si="79"/>
        <v>7.948546603295723</v>
      </c>
      <c r="M56" s="11">
        <f t="shared" si="79"/>
        <v>7.3892546913112511</v>
      </c>
      <c r="N56" s="11">
        <f t="shared" si="79"/>
        <v>6.8790494772925292</v>
      </c>
      <c r="O56" s="11">
        <f t="shared" si="79"/>
        <v>6.4349682002551312</v>
      </c>
      <c r="P56" s="11">
        <f t="shared" si="79"/>
        <v>6.057856041978873</v>
      </c>
      <c r="Q56" s="11">
        <f t="shared" si="79"/>
        <v>5.7394576290018318</v>
      </c>
      <c r="R56" s="11">
        <f t="shared" si="79"/>
        <v>5.4669811826155001</v>
      </c>
      <c r="S56" s="11">
        <f t="shared" si="79"/>
        <v>5.2256560493881921</v>
      </c>
      <c r="T56" s="11">
        <f t="shared" si="79"/>
        <v>5</v>
      </c>
    </row>
    <row r="57" spans="4:20" x14ac:dyDescent="0.25">
      <c r="E57" s="5">
        <f t="shared" si="78"/>
        <v>1.7999999999999998</v>
      </c>
      <c r="F57" s="7">
        <f t="shared" ref="F57:S61" si="80">(F31^2+F44^2)^(0.5)</f>
        <v>10.001004223244287</v>
      </c>
      <c r="G57" s="7">
        <f t="shared" si="80"/>
        <v>9.8800549387393062</v>
      </c>
      <c r="H57" s="7">
        <f t="shared" si="80"/>
        <v>9.7199513972570273</v>
      </c>
      <c r="I57" s="7">
        <f t="shared" si="80"/>
        <v>9.4750887395552947</v>
      </c>
      <c r="J57" s="7">
        <f t="shared" si="80"/>
        <v>9.0962195651672779</v>
      </c>
      <c r="K57" s="7">
        <f t="shared" si="80"/>
        <v>8.5618002586533617</v>
      </c>
      <c r="L57" s="7">
        <f t="shared" si="80"/>
        <v>7.9646176584645811</v>
      </c>
      <c r="M57" s="7">
        <f t="shared" si="80"/>
        <v>7.384099704152761</v>
      </c>
      <c r="N57" s="7">
        <f t="shared" si="80"/>
        <v>6.8625949835069786</v>
      </c>
      <c r="O57" s="7">
        <f t="shared" si="80"/>
        <v>6.414638082425915</v>
      </c>
      <c r="P57" s="7">
        <f t="shared" si="80"/>
        <v>6.0385209560393145</v>
      </c>
      <c r="Q57" s="7">
        <f t="shared" si="80"/>
        <v>5.7241258408093412</v>
      </c>
      <c r="R57" s="7">
        <f t="shared" si="80"/>
        <v>5.4574554388779228</v>
      </c>
      <c r="S57" s="7">
        <f t="shared" si="80"/>
        <v>5.2230430739921569</v>
      </c>
      <c r="T57" s="7">
        <f t="shared" ref="T57" si="81">(T31^2+T44^2)^(0.5)</f>
        <v>5.0050894749869839</v>
      </c>
    </row>
    <row r="58" spans="4:20" x14ac:dyDescent="0.25">
      <c r="E58" s="5">
        <f t="shared" si="78"/>
        <v>1.5999999999999999</v>
      </c>
      <c r="F58" s="7">
        <f t="shared" si="80"/>
        <v>10.002941144823941</v>
      </c>
      <c r="G58" s="7">
        <f t="shared" si="80"/>
        <v>9.943274140208354</v>
      </c>
      <c r="H58" s="7">
        <f t="shared" si="80"/>
        <v>9.8540853786893408</v>
      </c>
      <c r="I58" s="7">
        <f t="shared" si="80"/>
        <v>9.6863560673589841</v>
      </c>
      <c r="J58" s="7">
        <f t="shared" si="80"/>
        <v>9.3484488783038096</v>
      </c>
      <c r="K58" s="7">
        <f t="shared" si="80"/>
        <v>8.7091299202757586</v>
      </c>
      <c r="L58" s="7">
        <f t="shared" si="80"/>
        <v>8.0080175804037346</v>
      </c>
      <c r="M58" s="7">
        <f t="shared" si="80"/>
        <v>7.361372514597063</v>
      </c>
      <c r="N58" s="7">
        <f t="shared" si="80"/>
        <v>6.8071989531848454</v>
      </c>
      <c r="O58" s="7">
        <f t="shared" si="80"/>
        <v>6.3493260061307115</v>
      </c>
      <c r="P58" s="7">
        <f t="shared" si="80"/>
        <v>5.9775373700455692</v>
      </c>
      <c r="Q58" s="7">
        <f t="shared" si="80"/>
        <v>5.6760373914980962</v>
      </c>
      <c r="R58" s="7">
        <f t="shared" si="80"/>
        <v>5.4272810906754261</v>
      </c>
      <c r="S58" s="7">
        <f t="shared" si="80"/>
        <v>5.213802245903385</v>
      </c>
      <c r="T58" s="7">
        <f t="shared" ref="T58" si="82">(T32^2+T45^2)^(0.5)</f>
        <v>5.0189425983164462</v>
      </c>
    </row>
    <row r="59" spans="4:20" x14ac:dyDescent="0.25">
      <c r="E59" s="5">
        <f t="shared" si="78"/>
        <v>1.4</v>
      </c>
      <c r="F59" s="7">
        <f t="shared" si="80"/>
        <v>10.003463389562858</v>
      </c>
      <c r="G59" s="7">
        <f t="shared" si="80"/>
        <v>10.037711404563037</v>
      </c>
      <c r="H59" s="7">
        <f t="shared" si="80"/>
        <v>10.072321190875597</v>
      </c>
      <c r="I59" s="7">
        <f t="shared" si="80"/>
        <v>10.082652359192421</v>
      </c>
      <c r="J59" s="7">
        <f t="shared" si="80"/>
        <v>9.9360347566685814</v>
      </c>
      <c r="K59" s="7">
        <f t="shared" si="80"/>
        <v>8.9760965075487569</v>
      </c>
      <c r="L59" s="7">
        <f t="shared" si="80"/>
        <v>8.0563024565094725</v>
      </c>
      <c r="M59" s="7">
        <f t="shared" si="80"/>
        <v>7.2964932393091324</v>
      </c>
      <c r="N59" s="7">
        <f t="shared" si="80"/>
        <v>6.6944867642836572</v>
      </c>
      <c r="O59" s="7">
        <f t="shared" si="80"/>
        <v>6.2264965822791654</v>
      </c>
      <c r="P59" s="7">
        <f t="shared" si="80"/>
        <v>5.8664832280255839</v>
      </c>
      <c r="Q59" s="7">
        <f t="shared" si="80"/>
        <v>5.5893773685985071</v>
      </c>
      <c r="R59" s="7">
        <f t="shared" si="80"/>
        <v>5.3720686371821476</v>
      </c>
      <c r="S59" s="7">
        <f t="shared" si="80"/>
        <v>5.1940627729156192</v>
      </c>
      <c r="T59" s="7">
        <f t="shared" ref="T59" si="83">(T33^2+T46^2)^(0.5)</f>
        <v>5.0375713120586054</v>
      </c>
    </row>
    <row r="60" spans="4:20" x14ac:dyDescent="0.25">
      <c r="E60" s="5">
        <f t="shared" si="78"/>
        <v>1.2</v>
      </c>
      <c r="F60" s="7">
        <f t="shared" si="80"/>
        <v>10.001568396435349</v>
      </c>
      <c r="G60" s="7">
        <f t="shared" si="80"/>
        <v>10.134050954764417</v>
      </c>
      <c r="H60" s="7">
        <f t="shared" si="80"/>
        <v>10.324215076452678</v>
      </c>
      <c r="I60" s="7">
        <f t="shared" si="80"/>
        <v>10.664754354625764</v>
      </c>
      <c r="J60" s="7">
        <f t="shared" si="80"/>
        <v>11.399983620626015</v>
      </c>
      <c r="K60" s="7">
        <f t="shared" si="80"/>
        <v>9.3340322214052431</v>
      </c>
      <c r="L60" s="7">
        <f t="shared" si="80"/>
        <v>8.0421654754130785</v>
      </c>
      <c r="M60" s="7">
        <f t="shared" si="80"/>
        <v>7.1415586899969652</v>
      </c>
      <c r="N60" s="7">
        <f t="shared" si="80"/>
        <v>6.4945985429605564</v>
      </c>
      <c r="O60" s="7">
        <f t="shared" si="80"/>
        <v>6.0273588723841707</v>
      </c>
      <c r="P60" s="7">
        <f t="shared" si="80"/>
        <v>5.6932307647909992</v>
      </c>
      <c r="Q60" s="7">
        <f t="shared" si="80"/>
        <v>5.4560687607049925</v>
      </c>
      <c r="R60" s="7">
        <f t="shared" si="80"/>
        <v>5.2858815090354598</v>
      </c>
      <c r="S60" s="7">
        <f t="shared" si="80"/>
        <v>5.158520947208622</v>
      </c>
      <c r="T60" s="7">
        <f t="shared" ref="T60" si="84">(T34^2+T47^2)^(0.5)</f>
        <v>5.0552198887451283</v>
      </c>
    </row>
    <row r="61" spans="4:20" x14ac:dyDescent="0.25">
      <c r="E61" s="5">
        <f t="shared" si="78"/>
        <v>1</v>
      </c>
      <c r="F61" s="11">
        <f t="shared" si="80"/>
        <v>10</v>
      </c>
      <c r="G61" s="11">
        <f t="shared" si="80"/>
        <v>10.177116878287686</v>
      </c>
      <c r="H61" s="11">
        <f t="shared" si="80"/>
        <v>10.445256986393131</v>
      </c>
      <c r="I61" s="11">
        <f t="shared" si="80"/>
        <v>10.970737960064731</v>
      </c>
      <c r="J61" s="11">
        <f t="shared" si="80"/>
        <v>12.622782985279212</v>
      </c>
      <c r="K61" s="7">
        <f t="shared" si="80"/>
        <v>9.5029384370657457</v>
      </c>
      <c r="L61" s="7">
        <f t="shared" si="80"/>
        <v>7.8147985909571842</v>
      </c>
      <c r="M61" s="7">
        <f t="shared" si="80"/>
        <v>6.8275906532365012</v>
      </c>
      <c r="N61" s="7">
        <f t="shared" si="80"/>
        <v>6.1735954668589592</v>
      </c>
      <c r="O61" s="7">
        <f t="shared" si="80"/>
        <v>5.7318530681801745</v>
      </c>
      <c r="P61" s="7">
        <f t="shared" si="80"/>
        <v>5.4451560113016884</v>
      </c>
      <c r="Q61" s="7">
        <f t="shared" si="80"/>
        <v>5.268294043652201</v>
      </c>
      <c r="R61" s="7">
        <f t="shared" si="80"/>
        <v>5.1633973894433858</v>
      </c>
      <c r="S61" s="7">
        <f t="shared" si="80"/>
        <v>5.1022350883731447</v>
      </c>
      <c r="T61" s="7">
        <f t="shared" ref="T61" si="85">(T35^2+T48^2)^(0.5)</f>
        <v>5.0657636253490379</v>
      </c>
    </row>
    <row r="62" spans="4:20" x14ac:dyDescent="0.25">
      <c r="E62" s="5">
        <f t="shared" si="78"/>
        <v>0.8</v>
      </c>
      <c r="F62" s="4"/>
      <c r="G62" s="4"/>
      <c r="H62" s="4"/>
      <c r="I62" s="4"/>
      <c r="J62" s="4"/>
      <c r="K62" s="11">
        <f t="shared" ref="K62:S62" si="86">(K36^2+K49^2)^(0.5)</f>
        <v>8.3148023188002309</v>
      </c>
      <c r="L62" s="7">
        <f t="shared" si="86"/>
        <v>7.1302128009815302</v>
      </c>
      <c r="M62" s="7">
        <f t="shared" si="86"/>
        <v>6.305424005032763</v>
      </c>
      <c r="N62" s="7">
        <f t="shared" si="86"/>
        <v>5.7146414460505461</v>
      </c>
      <c r="O62" s="7">
        <f t="shared" si="86"/>
        <v>5.3261859026531964</v>
      </c>
      <c r="P62" s="7">
        <f t="shared" si="86"/>
        <v>5.1129177509668802</v>
      </c>
      <c r="Q62" s="7">
        <f t="shared" si="86"/>
        <v>5.0218727096749678</v>
      </c>
      <c r="R62" s="7">
        <f t="shared" si="86"/>
        <v>5.003032800494104</v>
      </c>
      <c r="S62" s="7">
        <f t="shared" si="86"/>
        <v>5.023187315554658</v>
      </c>
      <c r="T62" s="7">
        <f t="shared" ref="T62" si="87">(T36^2+T49^2)^(0.5)</f>
        <v>5.064635606662141</v>
      </c>
    </row>
    <row r="63" spans="4:20" x14ac:dyDescent="0.25">
      <c r="E63" s="5">
        <f t="shared" si="78"/>
        <v>0.60000000000000009</v>
      </c>
      <c r="F63" s="4"/>
      <c r="G63" s="4"/>
      <c r="H63" s="4"/>
      <c r="I63" s="4"/>
      <c r="J63" s="4"/>
      <c r="K63" s="4"/>
      <c r="L63" s="11">
        <f t="shared" ref="L63:S63" si="88">(L37^2+L50^2)^(0.5)</f>
        <v>6.4054619065870648</v>
      </c>
      <c r="M63" s="7">
        <f t="shared" si="88"/>
        <v>5.6807738427555403</v>
      </c>
      <c r="N63" s="7">
        <f t="shared" si="88"/>
        <v>5.1423309475237557</v>
      </c>
      <c r="O63" s="7">
        <f t="shared" si="88"/>
        <v>4.802371733011868</v>
      </c>
      <c r="P63" s="7">
        <f t="shared" si="88"/>
        <v>4.691602916259523</v>
      </c>
      <c r="Q63" s="7">
        <f t="shared" si="88"/>
        <v>4.7204457877956019</v>
      </c>
      <c r="R63" s="7">
        <f t="shared" si="88"/>
        <v>4.8112604287061762</v>
      </c>
      <c r="S63" s="7">
        <f t="shared" si="88"/>
        <v>4.9255056362482899</v>
      </c>
      <c r="T63" s="7">
        <f t="shared" ref="T63" si="89">(T37^2+T50^2)^(0.5)</f>
        <v>5.0509519425952076</v>
      </c>
    </row>
    <row r="64" spans="4:20" x14ac:dyDescent="0.25">
      <c r="E64" s="5">
        <f t="shared" si="78"/>
        <v>0.4</v>
      </c>
      <c r="F64" s="4"/>
      <c r="G64" s="4"/>
      <c r="H64" s="4"/>
      <c r="I64" s="4"/>
      <c r="J64" s="4"/>
      <c r="K64" s="4"/>
      <c r="L64" s="4"/>
      <c r="M64" s="11">
        <f t="shared" ref="M64:S64" si="90">(M38^2+M51^2)^(0.5)</f>
        <v>5.0809037898989891</v>
      </c>
      <c r="N64" s="7">
        <f t="shared" si="90"/>
        <v>4.4816736874236671</v>
      </c>
      <c r="O64" s="7">
        <f t="shared" si="90"/>
        <v>4.1287116512099136</v>
      </c>
      <c r="P64" s="7">
        <f t="shared" si="90"/>
        <v>4.1802354512885085</v>
      </c>
      <c r="Q64" s="7">
        <f t="shared" si="90"/>
        <v>4.3839091947386812</v>
      </c>
      <c r="R64" s="7">
        <f t="shared" si="90"/>
        <v>4.6090561332267521</v>
      </c>
      <c r="S64" s="7">
        <f t="shared" si="90"/>
        <v>4.8229000666883364</v>
      </c>
      <c r="T64" s="7">
        <f t="shared" ref="T64" si="91">(T38^2+T51^2)^(0.5)</f>
        <v>5.0291045612778005</v>
      </c>
    </row>
    <row r="65" spans="5:20" x14ac:dyDescent="0.25">
      <c r="E65" s="5">
        <f>E66+$B$2</f>
        <v>0.2</v>
      </c>
      <c r="F65" s="4"/>
      <c r="G65" s="4"/>
      <c r="H65" s="4"/>
      <c r="I65" s="4"/>
      <c r="J65" s="4"/>
      <c r="K65" s="4"/>
      <c r="L65" s="4"/>
      <c r="M65" s="4"/>
      <c r="N65" s="11">
        <f t="shared" ref="N65:S65" si="92">(N39^2+N52^2)^(0.5)</f>
        <v>3.8258035418406737</v>
      </c>
      <c r="O65" s="7">
        <f t="shared" si="92"/>
        <v>3.1816948560793996</v>
      </c>
      <c r="P65" s="7">
        <f t="shared" si="92"/>
        <v>3.6103766248415643</v>
      </c>
      <c r="Q65" s="7">
        <f t="shared" si="92"/>
        <v>4.0725730817627808</v>
      </c>
      <c r="R65" s="7">
        <f t="shared" si="92"/>
        <v>4.4404154490845951</v>
      </c>
      <c r="S65" s="7">
        <f t="shared" si="92"/>
        <v>4.7402981240303497</v>
      </c>
      <c r="T65" s="7">
        <f t="shared" ref="T65" si="93">(T39^2+T52^2)^(0.5)</f>
        <v>5.008532924842001</v>
      </c>
    </row>
    <row r="66" spans="5:20" x14ac:dyDescent="0.25">
      <c r="E66" s="5">
        <v>0</v>
      </c>
      <c r="F66" s="4"/>
      <c r="G66" s="4"/>
      <c r="H66" s="4"/>
      <c r="I66" s="4"/>
      <c r="J66" s="4"/>
      <c r="K66" s="4"/>
      <c r="L66" s="4"/>
      <c r="M66" s="4"/>
      <c r="N66" s="4"/>
      <c r="O66" s="11">
        <f t="shared" ref="O66:S66" si="94">(O40^2+O53^2)^(0.5)</f>
        <v>2.1832321548737119</v>
      </c>
      <c r="P66" s="11">
        <f t="shared" si="94"/>
        <v>3.2800235807708038</v>
      </c>
      <c r="Q66" s="11">
        <f t="shared" si="94"/>
        <v>3.9307642443981137</v>
      </c>
      <c r="R66" s="11">
        <f t="shared" si="94"/>
        <v>4.3713257408457808</v>
      </c>
      <c r="S66" s="11">
        <f t="shared" si="94"/>
        <v>4.7077636928333977</v>
      </c>
      <c r="T66" s="11">
        <f t="shared" ref="T66" si="95">(T40^2+T53^2)^(0.5)</f>
        <v>5</v>
      </c>
    </row>
    <row r="67" spans="5:20" x14ac:dyDescent="0.25">
      <c r="F67" s="5">
        <v>0</v>
      </c>
      <c r="G67" s="5">
        <f>F67+$B$2</f>
        <v>0.2</v>
      </c>
      <c r="H67" s="5">
        <f t="shared" ref="H67:T67" si="96">G67+$B$2</f>
        <v>0.4</v>
      </c>
      <c r="I67" s="5">
        <f t="shared" si="96"/>
        <v>0.60000000000000009</v>
      </c>
      <c r="J67" s="5">
        <f t="shared" si="96"/>
        <v>0.8</v>
      </c>
      <c r="K67" s="5">
        <f t="shared" si="96"/>
        <v>1</v>
      </c>
      <c r="L67" s="5">
        <f t="shared" si="96"/>
        <v>1.2</v>
      </c>
      <c r="M67" s="5">
        <f t="shared" si="96"/>
        <v>1.4</v>
      </c>
      <c r="N67" s="5">
        <f t="shared" si="96"/>
        <v>1.5999999999999999</v>
      </c>
      <c r="O67" s="5">
        <f t="shared" si="96"/>
        <v>1.7999999999999998</v>
      </c>
      <c r="P67" s="5">
        <f t="shared" si="96"/>
        <v>1.9999999999999998</v>
      </c>
      <c r="Q67" s="5">
        <f t="shared" si="96"/>
        <v>2.1999999999999997</v>
      </c>
      <c r="R67" s="5">
        <f t="shared" si="96"/>
        <v>2.4</v>
      </c>
      <c r="S67" s="5">
        <f t="shared" si="96"/>
        <v>2.6</v>
      </c>
      <c r="T67" s="5">
        <f t="shared" si="96"/>
        <v>2.8000000000000003</v>
      </c>
    </row>
  </sheetData>
  <conditionalFormatting sqref="F17:T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2021-11-15T18:30:39Z</dcterms:created>
  <dcterms:modified xsi:type="dcterms:W3CDTF">2021-11-15T20:05:05Z</dcterms:modified>
</cp:coreProperties>
</file>