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ненавижу\мсс\андрей всратый инцел\"/>
    </mc:Choice>
  </mc:AlternateContent>
  <xr:revisionPtr revIDLastSave="0" documentId="8_{1783653D-FBFE-488E-9331-D3F6A5EE9C0B}" xr6:coauthVersionLast="45" xr6:coauthVersionMax="45" xr10:uidLastSave="{00000000-0000-0000-0000-000000000000}"/>
  <bookViews>
    <workbookView xWindow="-108" yWindow="-108" windowWidth="19416" windowHeight="11016" xr2:uid="{E14EDAC9-4CAB-44F0-90AD-69EABD8F8C18}"/>
  </bookViews>
  <sheets>
    <sheet name="Лист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1" l="1"/>
  <c r="T15" i="1"/>
  <c r="P15" i="1"/>
  <c r="L15" i="1"/>
  <c r="H15" i="1"/>
  <c r="AJ13" i="1"/>
  <c r="C5" i="1"/>
  <c r="AI15" i="1" s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15" i="1" l="1"/>
  <c r="AF15" i="1"/>
  <c r="F13" i="1"/>
  <c r="G15" i="1" s="1"/>
  <c r="M15" i="1"/>
  <c r="Q15" i="1"/>
  <c r="Y15" i="1"/>
  <c r="J15" i="1"/>
  <c r="N15" i="1"/>
  <c r="R15" i="1"/>
  <c r="V15" i="1"/>
  <c r="Z15" i="1"/>
  <c r="AD15" i="1"/>
  <c r="AH15" i="1"/>
  <c r="I15" i="1"/>
  <c r="U15" i="1"/>
  <c r="AC15" i="1"/>
  <c r="AG15" i="1"/>
  <c r="K15" i="1"/>
  <c r="O15" i="1"/>
  <c r="S15" i="1"/>
  <c r="W15" i="1"/>
  <c r="AA15" i="1"/>
  <c r="AE15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<sst xmlns="http://schemas.openxmlformats.org/spreadsheetml/2006/main" count="13" uniqueCount="12">
  <si>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</si>
  <si>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</si>
  <si>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</si>
  <si>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</si>
  <si>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</si>
  <si>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</si>
  <si>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</si>
  <si>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к1</t>
  </si>
  <si>
    <t>Te1</t>
  </si>
  <si>
    <t>T</t>
  </si>
  <si>
    <t>T_start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</si>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</sst>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'[2]ГУ 1'!$F$12:$AJ$12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'[2]ГУ 1'!$F$13:$AJ$13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E2-4658-9EE8-7FE837BE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487944"/>
        <c:axId val="351488272"/>
      </c:scatterChart>
      <c:valAx>
        <c:axId val="3514879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8272"/>
        <c:crosses val="autoZero"/>
        <c:crossBetween val="midCat"/>
      </c:valAx>
      <c:valAx>
        <c:axId val="3514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16</xdr:row>
      <xdr:rowOff>0</xdr:rowOff>
    </xdr:from>
    <xdr:to>
      <xdr:col>13</xdr:col>
      <xdr:colOff>304800</xdr:colOff>
      <xdr:row>32</xdr:row>
      <xdr:rowOff>84858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E4CC69D0-0A4D-4E61-BA46-62EE7B083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85726</xdr:colOff>
      <xdr:row>16</xdr:row>
      <xdr:rowOff>71253</xdr:rowOff>
    </xdr:from>
    <xdr:ext cx="522900" cy="21771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831C82E3-3AD8-43C7-B83D-03EF6E5085F3}"/>
                </a:ext>
              </a:extLst>
            </xdr:cNvPr>
            <xdr:cNvSpPr txBox="1"/>
          </xdr:nvSpPr>
          <xdr:spPr>
            <a:xfrm>
              <a:off x="3743326" y="2952998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831C82E3-3AD8-43C7-B83D-03EF6E5085F3}"/>
                </a:ext>
              </a:extLst>
            </xdr:cNvPr>
            <xdr:cNvSpPr txBox="1"/>
          </xdr:nvSpPr>
          <xdr:spPr>
            <a:xfrm>
              <a:off x="3743326" y="2952998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12</xdr:col>
      <xdr:colOff>238124</xdr:colOff>
      <xdr:row>30</xdr:row>
      <xdr:rowOff>82138</xdr:rowOff>
    </xdr:from>
    <xdr:ext cx="644215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DB0AF898-83D5-4E33-819B-50701A903B72}"/>
                </a:ext>
              </a:extLst>
            </xdr:cNvPr>
            <xdr:cNvSpPr txBox="1"/>
          </xdr:nvSpPr>
          <xdr:spPr>
            <a:xfrm>
              <a:off x="7553324" y="5485411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DB0AF898-83D5-4E33-819B-50701A903B72}"/>
                </a:ext>
              </a:extLst>
            </xdr:cNvPr>
            <xdr:cNvSpPr txBox="1"/>
          </xdr:nvSpPr>
          <xdr:spPr>
            <a:xfrm>
              <a:off x="7553324" y="5485411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omewor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"/>
      <sheetName val="ГУ 2"/>
      <sheetName val="ГУ 3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280.34602914679897</v>
          </cell>
          <cell r="H13">
            <v>260.69205829359794</v>
          </cell>
          <cell r="I13">
            <v>241.69187227593491</v>
          </cell>
          <cell r="J13">
            <v>222.69168625827183</v>
          </cell>
          <cell r="K13">
            <v>204.95390631913148</v>
          </cell>
          <cell r="L13">
            <v>187.21612637999107</v>
          </cell>
          <cell r="M13">
            <v>171.26453784334268</v>
          </cell>
          <cell r="N13">
            <v>155.31294930669429</v>
          </cell>
          <cell r="O13">
            <v>141.55671337374599</v>
          </cell>
          <cell r="P13">
            <v>127.80047744079765</v>
          </cell>
          <cell r="Q13">
            <v>116.51671674932982</v>
          </cell>
          <cell r="R13">
            <v>105.23295605786197</v>
          </cell>
          <cell r="S13">
            <v>96.561989352755049</v>
          </cell>
          <cell r="T13">
            <v>87.891022647648128</v>
          </cell>
          <cell r="U13">
            <v>81.842538774051832</v>
          </cell>
          <cell r="V13">
            <v>75.794054900455549</v>
          </cell>
          <cell r="W13">
            <v>72.261187114604226</v>
          </cell>
          <cell r="X13">
            <v>68.728319328752917</v>
          </cell>
          <cell r="Y13">
            <v>67.506108522455037</v>
          </cell>
          <cell r="Z13">
            <v>66.283897716157142</v>
          </cell>
          <cell r="AA13">
            <v>67.088962026000345</v>
          </cell>
          <cell r="AB13">
            <v>67.894026335843549</v>
          </cell>
          <cell r="AC13">
            <v>70.383127200086093</v>
          </cell>
          <cell r="AD13">
            <v>72.872228064328638</v>
          </cell>
          <cell r="AE13">
            <v>76.658491877071754</v>
          </cell>
          <cell r="AF13">
            <v>80.444755689814855</v>
          </cell>
          <cell r="AG13">
            <v>85.111263870845988</v>
          </cell>
          <cell r="AH13">
            <v>89.777772051877108</v>
          </cell>
          <cell r="AI13">
            <v>94.888886025938547</v>
          </cell>
          <cell r="AJ13">
            <v>100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4D935-1023-440F-A077-4E2093A85B51}">
  <dimension ref="B3:AJ16"/>
  <sheetViews>
    <sheetView tabSelected="1" zoomScale="40" zoomScaleNormal="40" workbookViewId="0">
      <selection activeCell="R25" sqref="R25"/>
    </sheetView>
  </sheetViews>
  <sheetFormatPr defaultRowHeight="14.4" x14ac:dyDescent="0.3"/>
  <sheetData>
    <row r="3" spans="2:36" x14ac:dyDescent="0.3">
      <c r="B3" s="1" t="s">
        <v>0</v>
      </c>
      <c r="C3" s="1">
        <v>0.3</v>
      </c>
    </row>
    <row r="4" spans="2:36" x14ac:dyDescent="0.3">
      <c r="B4" s="1" t="s">
        <v>1</v>
      </c>
      <c r="C4" s="2">
        <f>C3/30</f>
        <v>0.01</v>
      </c>
    </row>
    <row r="5" spans="2:36" x14ac:dyDescent="0.3">
      <c r="B5" s="1" t="s">
        <v>2</v>
      </c>
      <c r="C5" s="2">
        <f>0.435</f>
        <v>0.435</v>
      </c>
    </row>
    <row r="6" spans="2:36" x14ac:dyDescent="0.3">
      <c r="B6" s="1" t="s">
        <v>3</v>
      </c>
      <c r="C6" s="1">
        <v>300</v>
      </c>
      <c r="D6">
        <v>300.14999999999998</v>
      </c>
    </row>
    <row r="8" spans="2:36" x14ac:dyDescent="0.3">
      <c r="B8" s="1" t="s">
        <v>4</v>
      </c>
      <c r="C8" s="1">
        <v>385</v>
      </c>
    </row>
    <row r="9" spans="2:36" x14ac:dyDescent="0.3">
      <c r="B9" s="1" t="s">
        <v>5</v>
      </c>
      <c r="C9" s="1">
        <v>8900</v>
      </c>
    </row>
    <row r="10" spans="2:36" x14ac:dyDescent="0.3">
      <c r="B10" s="1" t="s">
        <v>6</v>
      </c>
      <c r="C10" s="1">
        <v>394</v>
      </c>
    </row>
    <row r="11" spans="2:36" x14ac:dyDescent="0.3">
      <c r="B11" s="1" t="s">
        <v>7</v>
      </c>
      <c r="C11" s="1">
        <v>1000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8</v>
      </c>
      <c r="C12" s="1">
        <v>-30</v>
      </c>
      <c r="E12" t="s">
        <v>0</v>
      </c>
      <c r="F12" s="3">
        <v>0</v>
      </c>
      <c r="G12" s="3">
        <f>F12+$C$4</f>
        <v>0.01</v>
      </c>
      <c r="H12" s="3">
        <f t="shared" ref="H12:AJ12" si="0">G12+$C$4</f>
        <v>0.02</v>
      </c>
      <c r="I12" s="3">
        <f t="shared" si="0"/>
        <v>0.03</v>
      </c>
      <c r="J12" s="3">
        <f t="shared" si="0"/>
        <v>0.04</v>
      </c>
      <c r="K12" s="3">
        <f t="shared" si="0"/>
        <v>0.05</v>
      </c>
      <c r="L12" s="3">
        <f t="shared" si="0"/>
        <v>6.0000000000000005E-2</v>
      </c>
      <c r="M12" s="3">
        <f t="shared" si="0"/>
        <v>7.0000000000000007E-2</v>
      </c>
      <c r="N12" s="3">
        <f t="shared" si="0"/>
        <v>0.08</v>
      </c>
      <c r="O12" s="3">
        <f t="shared" si="0"/>
        <v>0.09</v>
      </c>
      <c r="P12" s="3">
        <f t="shared" si="0"/>
        <v>9.9999999999999992E-2</v>
      </c>
      <c r="Q12" s="3">
        <f t="shared" si="0"/>
        <v>0.10999999999999999</v>
      </c>
      <c r="R12" s="3">
        <f t="shared" si="0"/>
        <v>0.11999999999999998</v>
      </c>
      <c r="S12" s="3">
        <f t="shared" si="0"/>
        <v>0.12999999999999998</v>
      </c>
      <c r="T12" s="3">
        <f t="shared" si="0"/>
        <v>0.13999999999999999</v>
      </c>
      <c r="U12" s="3">
        <f t="shared" si="0"/>
        <v>0.15</v>
      </c>
      <c r="V12" s="3">
        <f t="shared" si="0"/>
        <v>0.16</v>
      </c>
      <c r="W12" s="3">
        <f t="shared" si="0"/>
        <v>0.17</v>
      </c>
      <c r="X12" s="3">
        <f t="shared" si="0"/>
        <v>0.18000000000000002</v>
      </c>
      <c r="Y12" s="3">
        <f t="shared" si="0"/>
        <v>0.19000000000000003</v>
      </c>
      <c r="Z12" s="3">
        <f t="shared" si="0"/>
        <v>0.20000000000000004</v>
      </c>
      <c r="AA12" s="3">
        <f t="shared" si="0"/>
        <v>0.21000000000000005</v>
      </c>
      <c r="AB12" s="3">
        <f t="shared" si="0"/>
        <v>0.22000000000000006</v>
      </c>
      <c r="AC12" s="3">
        <f t="shared" si="0"/>
        <v>0.23000000000000007</v>
      </c>
      <c r="AD12" s="3">
        <f t="shared" si="0"/>
        <v>0.24000000000000007</v>
      </c>
      <c r="AE12" s="3">
        <f t="shared" si="0"/>
        <v>0.25000000000000006</v>
      </c>
      <c r="AF12" s="3">
        <f t="shared" si="0"/>
        <v>0.26000000000000006</v>
      </c>
      <c r="AG12" s="3">
        <f t="shared" si="0"/>
        <v>0.27000000000000007</v>
      </c>
      <c r="AH12" s="3">
        <f t="shared" si="0"/>
        <v>0.28000000000000008</v>
      </c>
      <c r="AI12" s="3">
        <f t="shared" si="0"/>
        <v>0.29000000000000009</v>
      </c>
      <c r="AJ12" s="3">
        <f t="shared" si="0"/>
        <v>0.3000000000000001</v>
      </c>
    </row>
    <row r="13" spans="2:36" x14ac:dyDescent="0.3">
      <c r="E13" t="s">
        <v>9</v>
      </c>
      <c r="F13" s="4">
        <f>1/(C10+C11*C4)*(C10*G13+C11*C4*C12)</f>
        <v>-3.3198903546661596</v>
      </c>
      <c r="G13" s="4">
        <v>-2.6427302113835749</v>
      </c>
      <c r="H13" s="4">
        <v>-1.9578043538461209</v>
      </c>
      <c r="I13" s="4">
        <v>-1.2659726749563442</v>
      </c>
      <c r="J13" s="4">
        <v>-0.56510352200997682</v>
      </c>
      <c r="K13" s="4">
        <v>0.14190817412735265</v>
      </c>
      <c r="L13" s="4">
        <v>0.85904055485646391</v>
      </c>
      <c r="M13" s="4">
        <v>1.5814967853173161</v>
      </c>
      <c r="N13" s="4">
        <v>2.3149231866588762</v>
      </c>
      <c r="O13" s="4">
        <v>3.0528380950287768</v>
      </c>
      <c r="P13" s="4">
        <v>3.802300375106201</v>
      </c>
      <c r="Q13" s="4">
        <v>4.5554347524541621</v>
      </c>
      <c r="R13" s="4">
        <v>5.3203912416619605</v>
      </c>
      <c r="S13" s="4">
        <v>6.0882532111102261</v>
      </c>
      <c r="T13" s="4">
        <v>6.8678892515759502</v>
      </c>
      <c r="U13" s="4">
        <v>7.6497388324564835</v>
      </c>
      <c r="V13" s="4">
        <v>8.4429822906561895</v>
      </c>
      <c r="W13" s="4">
        <v>9.2378400186967973</v>
      </c>
      <c r="X13" s="4">
        <v>10.043381515637142</v>
      </c>
      <c r="Y13" s="4">
        <v>10.85004123301778</v>
      </c>
      <c r="Z13" s="4">
        <v>11.666358735503774</v>
      </c>
      <c r="AA13" s="4">
        <v>12.483404579971081</v>
      </c>
      <c r="AB13" s="4">
        <v>13.308791894295558</v>
      </c>
      <c r="AC13" s="4">
        <v>14.134619413000284</v>
      </c>
      <c r="AD13" s="4">
        <v>14.967218023467515</v>
      </c>
      <c r="AE13" s="4">
        <v>15.800059219894786</v>
      </c>
      <c r="AF13" s="4">
        <v>16.637892824300415</v>
      </c>
      <c r="AG13" s="4">
        <v>17.475844822174786</v>
      </c>
      <c r="AH13" s="4">
        <v>18.316855840406969</v>
      </c>
      <c r="AI13" s="4">
        <v>19.157912724245246</v>
      </c>
      <c r="AJ13" s="4">
        <f>C15</f>
        <v>20</v>
      </c>
    </row>
    <row r="14" spans="2:36" x14ac:dyDescent="0.3"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2:36" x14ac:dyDescent="0.3">
      <c r="B15" s="1" t="s">
        <v>10</v>
      </c>
      <c r="C15" s="1">
        <v>20</v>
      </c>
      <c r="E15" t="s">
        <v>11</v>
      </c>
      <c r="F15" s="5"/>
      <c r="G15" s="5">
        <f>G13+(($C$10*$C$5)/($C$9*$C$8))*((H13-2*G13+F13)/($C$4^2))</f>
        <v>-2.6388458811161239</v>
      </c>
      <c r="H15" s="5">
        <f t="shared" ref="H15:AI15" si="1">H13+(($C$10*$C$5)/($C$9*$C$8))*((I13-2*H13+G13)/($C$4^2))</f>
        <v>-1.9543501331498576</v>
      </c>
      <c r="I15" s="5">
        <f t="shared" si="1"/>
        <v>-1.2614522235378149</v>
      </c>
      <c r="J15" s="5">
        <f t="shared" si="1"/>
        <v>-0.56203108518669065</v>
      </c>
      <c r="K15" s="5">
        <f t="shared" si="1"/>
        <v>0.14697043629628734</v>
      </c>
      <c r="L15" s="5">
        <f t="shared" si="1"/>
        <v>0.86170348964567467</v>
      </c>
      <c r="M15" s="5">
        <f t="shared" si="1"/>
        <v>1.586983951776515</v>
      </c>
      <c r="N15" s="5">
        <f t="shared" si="1"/>
        <v>2.3171682916335947</v>
      </c>
      <c r="O15" s="5">
        <f t="shared" si="1"/>
        <v>3.058613971395193</v>
      </c>
      <c r="P15" s="5">
        <f t="shared" si="1"/>
        <v>3.8041371203307661</v>
      </c>
      <c r="Q15" s="5">
        <f t="shared" si="1"/>
        <v>4.5613480510143765</v>
      </c>
      <c r="R15" s="5">
        <f t="shared" si="1"/>
        <v>5.3218445329458177</v>
      </c>
      <c r="S15" s="5">
        <f t="shared" si="1"/>
        <v>6.0941424801360027</v>
      </c>
      <c r="T15" s="5">
        <f t="shared" si="1"/>
        <v>6.8689964416874174</v>
      </c>
      <c r="U15" s="5">
        <f t="shared" si="1"/>
        <v>7.6554379325111546</v>
      </c>
      <c r="V15" s="5">
        <f t="shared" si="1"/>
        <v>8.4437897318003081</v>
      </c>
      <c r="W15" s="5">
        <f t="shared" si="1"/>
        <v>9.2431839298356451</v>
      </c>
      <c r="X15" s="5">
        <f t="shared" si="1"/>
        <v>10.043940837981406</v>
      </c>
      <c r="Y15" s="5">
        <f t="shared" si="1"/>
        <v>10.854871957632422</v>
      </c>
      <c r="Z15" s="5">
        <f t="shared" si="1"/>
        <v>11.666723044659406</v>
      </c>
      <c r="AA15" s="5">
        <f t="shared" si="1"/>
        <v>12.487576897259336</v>
      </c>
      <c r="AB15" s="5">
        <f t="shared" si="1"/>
        <v>13.309012079991547</v>
      </c>
      <c r="AC15" s="5">
        <f t="shared" si="1"/>
        <v>14.138006243343712</v>
      </c>
      <c r="AD15" s="5">
        <f t="shared" si="1"/>
        <v>14.967339362465593</v>
      </c>
      <c r="AE15" s="5">
        <f t="shared" si="1"/>
        <v>15.802556370933488</v>
      </c>
      <c r="AF15" s="5">
        <f t="shared" si="1"/>
        <v>16.637952043493783</v>
      </c>
      <c r="AG15" s="5">
        <f t="shared" si="1"/>
        <v>17.477374912643562</v>
      </c>
      <c r="AH15" s="5">
        <f t="shared" si="1"/>
        <v>18.316878781910628</v>
      </c>
      <c r="AI15" s="5">
        <f t="shared" si="1"/>
        <v>19.158428115666712</v>
      </c>
      <c r="AJ15" s="5"/>
    </row>
    <row r="16" spans="2:36" x14ac:dyDescent="0.3">
      <c r="G16" s="5"/>
      <c r="H16" s="5"/>
      <c r="I16" s="5"/>
      <c r="J16" s="5"/>
      <c r="K16" s="5"/>
      <c r="AJ16" s="5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2021-10-11T16:14:07Z</dcterms:created>
  <dcterms:modified xsi:type="dcterms:W3CDTF">2021-10-11T16:16:22Z</dcterms:modified>
</cp:coreProperties>
</file>