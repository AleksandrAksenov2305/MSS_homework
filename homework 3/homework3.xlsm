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aA\Desktop\"/>
    </mc:Choice>
  </mc:AlternateContent>
  <xr:revisionPtr revIDLastSave="0" documentId="13_ncr:1_{9484B45B-DF8A-48E1-945B-38A6FB6BCFC5}" xr6:coauthVersionLast="47" xr6:coauthVersionMax="47" xr10:uidLastSave="{00000000-0000-0000-0000-000000000000}"/>
  <bookViews>
    <workbookView xWindow="-120" yWindow="-120" windowWidth="29040" windowHeight="16440" activeTab="1" xr2:uid="{412C3889-4EFE-41E5-84C7-2090CDA816B6}"/>
  </bookViews>
  <sheets>
    <sheet name="Явная схема" sheetId="2" r:id="rId1"/>
    <sheet name="Неявная схема" sheetId="4" r:id="rId2"/>
  </sheets>
  <calcPr calcId="18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6" i="4" l="1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G16" i="4"/>
  <c r="AJ15" i="4"/>
  <c r="H17" i="4"/>
  <c r="I17" i="4"/>
  <c r="J17" i="4"/>
  <c r="K17" i="4"/>
  <c r="L17" i="4" s="1"/>
  <c r="M17" i="4" s="1"/>
  <c r="N17" i="4" s="1"/>
  <c r="O17" i="4" s="1"/>
  <c r="P17" i="4" s="1"/>
  <c r="Q17" i="4" s="1"/>
  <c r="R17" i="4" s="1"/>
  <c r="S17" i="4" s="1"/>
  <c r="T17" i="4" s="1"/>
  <c r="U17" i="4" s="1"/>
  <c r="V17" i="4" s="1"/>
  <c r="W17" i="4" s="1"/>
  <c r="X17" i="4" s="1"/>
  <c r="Y17" i="4" s="1"/>
  <c r="Z17" i="4" s="1"/>
  <c r="AA17" i="4" s="1"/>
  <c r="AB17" i="4" s="1"/>
  <c r="AC17" i="4" s="1"/>
  <c r="AD17" i="4" s="1"/>
  <c r="AE17" i="4" s="1"/>
  <c r="AF17" i="4" s="1"/>
  <c r="AG17" i="4" s="1"/>
  <c r="AH17" i="4" s="1"/>
  <c r="AI17" i="4" s="1"/>
  <c r="G17" i="4"/>
  <c r="G19" i="4"/>
  <c r="G18" i="4" s="1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F19" i="4"/>
  <c r="F18" i="4"/>
  <c r="F17" i="4"/>
  <c r="C19" i="4"/>
  <c r="C18" i="4"/>
  <c r="C17" i="4"/>
  <c r="AJ13" i="4"/>
  <c r="F13" i="4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C5" i="4"/>
  <c r="C4" i="4"/>
  <c r="F13" i="2"/>
  <c r="H18" i="4" l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I15" i="4" s="1"/>
  <c r="AH15" i="4" s="1"/>
  <c r="AG15" i="4" s="1"/>
  <c r="AF15" i="4" s="1"/>
  <c r="AE15" i="4" s="1"/>
  <c r="AD15" i="4" s="1"/>
  <c r="AC15" i="4" s="1"/>
  <c r="AB15" i="4" s="1"/>
  <c r="AA15" i="4" s="1"/>
  <c r="Z15" i="4" s="1"/>
  <c r="Y15" i="4" s="1"/>
  <c r="X15" i="4" s="1"/>
  <c r="W15" i="4" s="1"/>
  <c r="V15" i="4" s="1"/>
  <c r="U15" i="4" s="1"/>
  <c r="T15" i="4" s="1"/>
  <c r="S15" i="4" s="1"/>
  <c r="R15" i="4" s="1"/>
  <c r="Q15" i="4" s="1"/>
  <c r="P15" i="4" s="1"/>
  <c r="O15" i="4" s="1"/>
  <c r="N15" i="4" s="1"/>
  <c r="M15" i="4" s="1"/>
  <c r="L15" i="4" s="1"/>
  <c r="K15" i="4" s="1"/>
  <c r="J15" i="4" s="1"/>
  <c r="I15" i="4" s="1"/>
  <c r="H15" i="4" s="1"/>
  <c r="G15" i="4" s="1"/>
  <c r="AJ13" i="2"/>
  <c r="C4" i="2"/>
  <c r="G12" i="2" l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/>
  <c r="AF15" i="2" l="1"/>
  <c r="AB15" i="2"/>
  <c r="X15" i="2"/>
  <c r="T15" i="2"/>
  <c r="P15" i="2"/>
  <c r="L15" i="2"/>
  <c r="H15" i="2"/>
  <c r="AI15" i="2"/>
  <c r="AE15" i="2"/>
  <c r="AA15" i="2"/>
  <c r="W15" i="2"/>
  <c r="S15" i="2"/>
  <c r="O15" i="2"/>
  <c r="K15" i="2"/>
  <c r="G15" i="2"/>
  <c r="AH15" i="2"/>
  <c r="AD15" i="2"/>
  <c r="Z15" i="2"/>
  <c r="V15" i="2"/>
  <c r="R15" i="2"/>
  <c r="N15" i="2"/>
  <c r="J15" i="2"/>
  <c r="AG15" i="2"/>
  <c r="AC15" i="2"/>
  <c r="Y15" i="2"/>
  <c r="U15" i="2"/>
  <c r="Q15" i="2"/>
  <c r="M15" i="2"/>
  <c r="I15" i="2"/>
</calcChain>
</file>

<file path=xl/sharedStrings.xml><?xml version="1.0" encoding="utf-8"?>
<sst xmlns="http://schemas.openxmlformats.org/spreadsheetml/2006/main" count="31" uniqueCount="18">
  <si>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</si>
  <si>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</si>
  <si>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</si>
  <si>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</si>
  <si>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</si>
  <si>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</si>
  <si>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</si>
  <si>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</si>
  <si>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</si>
  <si>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T_iter</t>
  </si>
  <si>
    <t>q_start</t>
  </si>
  <si>
    <t>T_start</t>
  </si>
  <si>
    <t>A</t>
  </si>
  <si>
    <t>B</t>
  </si>
  <si>
    <t>C</t>
  </si>
  <si>
    <t>alpha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</si>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</sst>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0" xfId="0" applyBorder="1"/>
    <xf numFmtId="165" fontId="0" fillId="0" borderId="1" xfId="0" applyNumberFormat="1" applyBorder="1"/>
    <xf numFmtId="2" fontId="0" fillId="0" borderId="1" xfId="0" applyNumberFormat="1" applyBorder="1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Fill="1" applyBorder="1"/>
    <xf numFmtId="0" fontId="0" fillId="0" borderId="0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0.00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1D-4C49-9730-8A1A8D226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487944"/>
        <c:axId val="351488272"/>
      </c:scatterChart>
      <c:valAx>
        <c:axId val="3514879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488272"/>
        <c:crosses val="autoZero"/>
        <c:crossBetween val="midCat"/>
      </c:valAx>
      <c:valAx>
        <c:axId val="35148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487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0.00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3D-4663-98B2-F54774FB710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0.00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DF-4F61-A94C-9ADC3D5F2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487944"/>
        <c:axId val="351488272"/>
      </c:scatterChart>
      <c:valAx>
        <c:axId val="3514879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488272"/>
        <c:crosses val="autoZero"/>
        <c:crossBetween val="midCat"/>
      </c:valAx>
      <c:valAx>
        <c:axId val="35148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487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240847</xdr:colOff>
      <xdr:row>20</xdr:row>
      <xdr:rowOff>163285</xdr:rowOff>
    </xdr:from>
    <xdr:to>
      <xdr:col>23</xdr:col>
      <xdr:colOff>133350</xdr:colOff>
      <xdr:row>37</xdr:row>
      <xdr:rowOff>68035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7DED006-096A-4DBD-9CA8-420B26C4D2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326573</xdr:colOff>
      <xdr:row>21</xdr:row>
      <xdr:rowOff>54429</xdr:rowOff>
    </xdr:from>
    <xdr:ext cx="522900" cy="2177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65EDF9E-44AE-4642-BC89-0E1CA9C2C458}"/>
                </a:ext>
              </a:extLst>
            </xdr:cNvPr>
            <xdr:cNvSpPr txBox="1"/>
          </xdr:nvSpPr>
          <xdr:spPr>
            <a:xfrm>
              <a:off x="6422573" y="3940629"/>
              <a:ext cx="522900" cy="21771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65EDF9E-44AE-4642-BC89-0E1CA9C2C458}"/>
                </a:ext>
              </a:extLst>
            </xdr:cNvPr>
            <xdr:cNvSpPr txBox="1"/>
          </xdr:nvSpPr>
          <xdr:spPr>
            <a:xfrm>
              <a:off x="6422573" y="3940629"/>
              <a:ext cx="522900" cy="21771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21</xdr:col>
      <xdr:colOff>297996</xdr:colOff>
      <xdr:row>35</xdr:row>
      <xdr:rowOff>74840</xdr:rowOff>
    </xdr:from>
    <xdr:ext cx="644215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399D870-2A52-4D1B-BAE2-FC3E791D0C46}"/>
                </a:ext>
              </a:extLst>
            </xdr:cNvPr>
            <xdr:cNvSpPr txBox="1"/>
          </xdr:nvSpPr>
          <xdr:spPr>
            <a:xfrm>
              <a:off x="9699171" y="6742340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399D870-2A52-4D1B-BAE2-FC3E791D0C46}"/>
                </a:ext>
              </a:extLst>
            </xdr:cNvPr>
            <xdr:cNvSpPr txBox="1"/>
          </xdr:nvSpPr>
          <xdr:spPr>
            <a:xfrm>
              <a:off x="9699171" y="6742340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 [𝒎]</a:t>
              </a:r>
              <a:endParaRPr lang="ru-RU" sz="12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240847</xdr:colOff>
      <xdr:row>20</xdr:row>
      <xdr:rowOff>142875</xdr:rowOff>
    </xdr:from>
    <xdr:to>
      <xdr:col>23</xdr:col>
      <xdr:colOff>247650</xdr:colOff>
      <xdr:row>37</xdr:row>
      <xdr:rowOff>68035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749E365-F19A-48DD-B6A4-68874E78D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326573</xdr:colOff>
      <xdr:row>21</xdr:row>
      <xdr:rowOff>54429</xdr:rowOff>
    </xdr:from>
    <xdr:ext cx="522900" cy="2177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4106BDD-4AA9-4199-8709-31BDD32BD1C0}"/>
                </a:ext>
              </a:extLst>
            </xdr:cNvPr>
            <xdr:cNvSpPr txBox="1"/>
          </xdr:nvSpPr>
          <xdr:spPr>
            <a:xfrm>
              <a:off x="4803323" y="4054929"/>
              <a:ext cx="522900" cy="21771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4106BDD-4AA9-4199-8709-31BDD32BD1C0}"/>
                </a:ext>
              </a:extLst>
            </xdr:cNvPr>
            <xdr:cNvSpPr txBox="1"/>
          </xdr:nvSpPr>
          <xdr:spPr>
            <a:xfrm>
              <a:off x="4803323" y="4054929"/>
              <a:ext cx="522900" cy="21771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21</xdr:col>
      <xdr:colOff>440871</xdr:colOff>
      <xdr:row>35</xdr:row>
      <xdr:rowOff>55790</xdr:rowOff>
    </xdr:from>
    <xdr:ext cx="644215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427534D-8BB1-4F3D-98F6-3BE8BAB3F574}"/>
                </a:ext>
              </a:extLst>
            </xdr:cNvPr>
            <xdr:cNvSpPr txBox="1"/>
          </xdr:nvSpPr>
          <xdr:spPr>
            <a:xfrm>
              <a:off x="9842046" y="6723290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427534D-8BB1-4F3D-98F6-3BE8BAB3F574}"/>
                </a:ext>
              </a:extLst>
            </xdr:cNvPr>
            <xdr:cNvSpPr txBox="1"/>
          </xdr:nvSpPr>
          <xdr:spPr>
            <a:xfrm>
              <a:off x="9842046" y="6723290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 [𝒎]</a:t>
              </a:r>
              <a:endParaRPr lang="ru-RU" sz="12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A566-C49B-4E16-AEF3-3C6D9E9B6503}">
  <sheetPr codeName="Лист2"/>
  <dimension ref="B3:AJ15"/>
  <sheetViews>
    <sheetView zoomScaleNormal="100" workbookViewId="0">
      <selection activeCell="Y27" sqref="Y27"/>
    </sheetView>
  </sheetViews>
  <sheetFormatPr defaultRowHeight="15" x14ac:dyDescent="0.25"/>
  <cols>
    <col min="1" max="36" width="6.7109375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3">
        <f>C3/30</f>
        <v>3.3333333333333335E-3</v>
      </c>
    </row>
    <row r="5" spans="2:36" x14ac:dyDescent="0.25">
      <c r="B5" s="1" t="s">
        <v>2</v>
      </c>
      <c r="C5" s="3">
        <f>(C9*C8*C4^2)/(2*C10)</f>
        <v>0.4333333333333334</v>
      </c>
    </row>
    <row r="6" spans="2:36" x14ac:dyDescent="0.25">
      <c r="B6" s="1" t="s">
        <v>3</v>
      </c>
      <c r="C6" s="1">
        <v>60</v>
      </c>
      <c r="D6">
        <v>60.233333333333341</v>
      </c>
    </row>
    <row r="7" spans="2:36" x14ac:dyDescent="0.25">
      <c r="B7" s="2"/>
      <c r="C7" s="2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B11" s="2"/>
      <c r="C11" s="2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10</v>
      </c>
      <c r="C12" s="1">
        <v>92000</v>
      </c>
      <c r="E12" s="6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8</v>
      </c>
      <c r="C13" s="1">
        <v>100</v>
      </c>
      <c r="E13" s="6" t="s">
        <v>7</v>
      </c>
      <c r="F13" s="4">
        <f>C14</f>
        <v>300</v>
      </c>
      <c r="G13" s="4">
        <v>280.34602914679897</v>
      </c>
      <c r="H13" s="4">
        <v>260.69205829359794</v>
      </c>
      <c r="I13" s="4">
        <v>241.69187227593491</v>
      </c>
      <c r="J13" s="4">
        <v>222.69168625827183</v>
      </c>
      <c r="K13" s="4">
        <v>204.95390631913148</v>
      </c>
      <c r="L13" s="4">
        <v>187.21612637999107</v>
      </c>
      <c r="M13" s="4">
        <v>171.26453784334268</v>
      </c>
      <c r="N13" s="4">
        <v>155.31294930669429</v>
      </c>
      <c r="O13" s="4">
        <v>141.55671337374599</v>
      </c>
      <c r="P13" s="4">
        <v>127.80047744079765</v>
      </c>
      <c r="Q13" s="4">
        <v>116.51671674932982</v>
      </c>
      <c r="R13" s="4">
        <v>105.23295605786197</v>
      </c>
      <c r="S13" s="4">
        <v>96.561989352755049</v>
      </c>
      <c r="T13" s="4">
        <v>87.891022647648128</v>
      </c>
      <c r="U13" s="4">
        <v>81.842538774051832</v>
      </c>
      <c r="V13" s="4">
        <v>75.794054900455549</v>
      </c>
      <c r="W13" s="4">
        <v>72.261187114604226</v>
      </c>
      <c r="X13" s="4">
        <v>68.728319328752917</v>
      </c>
      <c r="Y13" s="4">
        <v>67.506108522455037</v>
      </c>
      <c r="Z13" s="4">
        <v>66.283897716157142</v>
      </c>
      <c r="AA13" s="4">
        <v>67.088962026000345</v>
      </c>
      <c r="AB13" s="4">
        <v>67.894026335843549</v>
      </c>
      <c r="AC13" s="4">
        <v>70.383127200086093</v>
      </c>
      <c r="AD13" s="4">
        <v>72.872228064328638</v>
      </c>
      <c r="AE13" s="4">
        <v>76.658491877071754</v>
      </c>
      <c r="AF13" s="4">
        <v>80.444755689814855</v>
      </c>
      <c r="AG13" s="4">
        <v>85.111263870845988</v>
      </c>
      <c r="AH13" s="4">
        <v>89.777772051877108</v>
      </c>
      <c r="AI13" s="4">
        <v>94.888886025938547</v>
      </c>
      <c r="AJ13" s="4">
        <f>C13</f>
        <v>100</v>
      </c>
    </row>
    <row r="14" spans="2:36" x14ac:dyDescent="0.25">
      <c r="B14" s="7" t="s">
        <v>11</v>
      </c>
      <c r="C14" s="7">
        <v>300</v>
      </c>
      <c r="E14" s="6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</row>
    <row r="15" spans="2:36" x14ac:dyDescent="0.25">
      <c r="E15" s="6" t="s">
        <v>9</v>
      </c>
      <c r="F15" s="5"/>
      <c r="G15" s="5">
        <f>G13+(($C$10*$C$5)/($C$9*$C$8))*((H13-2*G13+F13)/($C$4^2))</f>
        <v>280.34602914679897</v>
      </c>
      <c r="H15" s="5">
        <f t="shared" ref="H15:AI15" si="1">H13+(($C$10*$C$5)/($C$9*$C$8))*((I13-2*H13+G13)/($C$4^2))</f>
        <v>261.01895071136693</v>
      </c>
      <c r="I15" s="5">
        <f t="shared" si="1"/>
        <v>241.69187227593488</v>
      </c>
      <c r="J15" s="5">
        <f t="shared" si="1"/>
        <v>223.32288929753321</v>
      </c>
      <c r="K15" s="5">
        <f t="shared" si="1"/>
        <v>204.95390631913145</v>
      </c>
      <c r="L15" s="5">
        <f t="shared" si="1"/>
        <v>188.10922208123708</v>
      </c>
      <c r="M15" s="5">
        <f t="shared" si="1"/>
        <v>171.26453784334268</v>
      </c>
      <c r="N15" s="5">
        <f t="shared" si="1"/>
        <v>156.41062560854434</v>
      </c>
      <c r="O15" s="5">
        <f t="shared" si="1"/>
        <v>141.55671337374596</v>
      </c>
      <c r="P15" s="5">
        <f t="shared" si="1"/>
        <v>129.0367150615379</v>
      </c>
      <c r="Q15" s="5">
        <f t="shared" si="1"/>
        <v>116.51671674932982</v>
      </c>
      <c r="R15" s="5">
        <f t="shared" si="1"/>
        <v>106.53935305104244</v>
      </c>
      <c r="S15" s="5">
        <f t="shared" si="1"/>
        <v>96.561989352755049</v>
      </c>
      <c r="T15" s="5">
        <f t="shared" si="1"/>
        <v>89.202264063403447</v>
      </c>
      <c r="U15" s="5">
        <f t="shared" si="1"/>
        <v>81.842538774051832</v>
      </c>
      <c r="V15" s="5">
        <f t="shared" si="1"/>
        <v>77.051862944328036</v>
      </c>
      <c r="W15" s="5">
        <f t="shared" si="1"/>
        <v>72.26118711460424</v>
      </c>
      <c r="X15" s="5">
        <f t="shared" si="1"/>
        <v>69.883647818529624</v>
      </c>
      <c r="Y15" s="5">
        <f t="shared" si="1"/>
        <v>67.506108522455037</v>
      </c>
      <c r="Z15" s="5">
        <f t="shared" si="1"/>
        <v>67.297535274227698</v>
      </c>
      <c r="AA15" s="5">
        <f t="shared" si="1"/>
        <v>67.088962026000345</v>
      </c>
      <c r="AB15" s="5">
        <f t="shared" si="1"/>
        <v>68.736044613043219</v>
      </c>
      <c r="AC15" s="5">
        <f t="shared" si="1"/>
        <v>70.383127200086093</v>
      </c>
      <c r="AD15" s="5">
        <f t="shared" si="1"/>
        <v>73.520809538578931</v>
      </c>
      <c r="AE15" s="5">
        <f t="shared" si="1"/>
        <v>76.658491877071754</v>
      </c>
      <c r="AF15" s="5">
        <f t="shared" si="1"/>
        <v>80.884877873958871</v>
      </c>
      <c r="AG15" s="5">
        <f t="shared" si="1"/>
        <v>85.111263870845988</v>
      </c>
      <c r="AH15" s="5">
        <f t="shared" si="1"/>
        <v>90.000074948392268</v>
      </c>
      <c r="AI15" s="5">
        <f t="shared" si="1"/>
        <v>94.888886025938547</v>
      </c>
      <c r="AJ15" s="5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5F533-2AEA-48C7-B9B4-F2B1576BACBD}">
  <sheetPr codeName="Лист4"/>
  <dimension ref="B3:AJ19"/>
  <sheetViews>
    <sheetView tabSelected="1" zoomScaleNormal="100" workbookViewId="0">
      <selection activeCell="AL10" sqref="AL10"/>
    </sheetView>
  </sheetViews>
  <sheetFormatPr defaultRowHeight="15" x14ac:dyDescent="0.25"/>
  <cols>
    <col min="1" max="36" width="6.7109375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3">
        <f>C3/30</f>
        <v>3.3333333333333335E-3</v>
      </c>
    </row>
    <row r="5" spans="2:36" x14ac:dyDescent="0.25">
      <c r="B5" s="1" t="s">
        <v>2</v>
      </c>
      <c r="C5" s="3">
        <f>(C9*C8*C4^2)/(2*C10)</f>
        <v>0.4333333333333334</v>
      </c>
    </row>
    <row r="6" spans="2:36" x14ac:dyDescent="0.25">
      <c r="B6" s="1" t="s">
        <v>3</v>
      </c>
      <c r="C6" s="1">
        <v>60</v>
      </c>
      <c r="D6">
        <v>60.233333333333341</v>
      </c>
    </row>
    <row r="7" spans="2:36" x14ac:dyDescent="0.25">
      <c r="B7" s="2"/>
      <c r="C7" s="2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B11" s="2"/>
      <c r="C11" s="2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2"/>
      <c r="C12" s="2"/>
      <c r="E12" s="6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8</v>
      </c>
      <c r="C13" s="1">
        <v>100</v>
      </c>
      <c r="E13" s="6" t="s">
        <v>7</v>
      </c>
      <c r="F13" s="4">
        <f>C14</f>
        <v>300</v>
      </c>
      <c r="G13" s="4">
        <v>280.20114262798575</v>
      </c>
      <c r="H13" s="4">
        <v>260.57053452366904</v>
      </c>
      <c r="I13" s="4">
        <v>241.27335396752636</v>
      </c>
      <c r="J13" s="4">
        <v>222.46874067679317</v>
      </c>
      <c r="K13" s="4">
        <v>204.30702925674697</v>
      </c>
      <c r="L13" s="4">
        <v>186.92727013670742</v>
      </c>
      <c r="M13" s="4">
        <v>170.45510875086381</v>
      </c>
      <c r="N13" s="4">
        <v>155.00107463428773</v>
      </c>
      <c r="O13" s="4">
        <v>140.65931099015722</v>
      </c>
      <c r="P13" s="4">
        <v>127.5067536180474</v>
      </c>
      <c r="Q13" s="4">
        <v>115.60274732960713</v>
      </c>
      <c r="R13" s="4">
        <v>104.98906943559072</v>
      </c>
      <c r="S13" s="4">
        <v>95.690314648076594</v>
      </c>
      <c r="T13" s="4">
        <v>87.714584570723446</v>
      </c>
      <c r="U13" s="4">
        <v>81.054418255410752</v>
      </c>
      <c r="V13" s="4">
        <v>75.68789812172092</v>
      </c>
      <c r="W13" s="4">
        <v>71.579867553261167</v>
      </c>
      <c r="X13" s="4">
        <v>68.68320209085141</v>
      </c>
      <c r="Y13" s="4">
        <v>66.940084503407604</v>
      </c>
      <c r="Z13" s="4">
        <v>66.283244166503039</v>
      </c>
      <c r="AA13" s="4">
        <v>66.637132112902975</v>
      </c>
      <c r="AB13" s="4">
        <v>67.919013891339318</v>
      </c>
      <c r="AC13" s="4">
        <v>70.039972168091296</v>
      </c>
      <c r="AD13" s="4">
        <v>72.905819217013814</v>
      </c>
      <c r="AE13" s="4">
        <v>76.417925689672472</v>
      </c>
      <c r="AF13" s="4">
        <v>80.473976208137344</v>
      </c>
      <c r="AG13" s="4">
        <v>84.968664482862408</v>
      </c>
      <c r="AH13" s="4">
        <v>89.794341128753075</v>
      </c>
      <c r="AI13" s="4">
        <v>94.841626578966242</v>
      </c>
      <c r="AJ13" s="4">
        <f>C13</f>
        <v>100</v>
      </c>
    </row>
    <row r="14" spans="2:36" x14ac:dyDescent="0.25">
      <c r="B14" s="7" t="s">
        <v>11</v>
      </c>
      <c r="C14" s="7">
        <v>300</v>
      </c>
      <c r="E14" s="6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</row>
    <row r="15" spans="2:36" x14ac:dyDescent="0.25">
      <c r="E15" s="6" t="s">
        <v>9</v>
      </c>
      <c r="F15" s="5"/>
      <c r="G15" s="5">
        <f>G17*H15+G18</f>
        <v>280.28451209215399</v>
      </c>
      <c r="H15" s="5">
        <f t="shared" ref="H15:AI15" si="1">H17*I15+H18</f>
        <v>260.73576311264441</v>
      </c>
      <c r="I15" s="5">
        <f t="shared" si="1"/>
        <v>241.51747131108542</v>
      </c>
      <c r="J15" s="5">
        <f t="shared" si="1"/>
        <v>222.78741419664442</v>
      </c>
      <c r="K15" s="5">
        <f t="shared" si="1"/>
        <v>204.69470412190589</v>
      </c>
      <c r="L15" s="5">
        <f t="shared" si="1"/>
        <v>187.37734377748521</v>
      </c>
      <c r="M15" s="5">
        <f t="shared" si="1"/>
        <v>170.96013071462008</v>
      </c>
      <c r="N15" s="5">
        <f t="shared" si="1"/>
        <v>155.55296157926747</v>
      </c>
      <c r="O15" s="5">
        <f t="shared" si="1"/>
        <v>141.24956633387433</v>
      </c>
      <c r="P15" s="5">
        <f t="shared" si="1"/>
        <v>128.12668177591533</v>
      </c>
      <c r="Q15" s="5">
        <f t="shared" si="1"/>
        <v>116.24365353369214</v>
      </c>
      <c r="R15" s="5">
        <f t="shared" si="1"/>
        <v>105.64243769963892</v>
      </c>
      <c r="S15" s="5">
        <f t="shared" si="1"/>
        <v>96.347958393682063</v>
      </c>
      <c r="T15" s="5">
        <f t="shared" si="1"/>
        <v>88.368766578936132</v>
      </c>
      <c r="U15" s="5">
        <f t="shared" si="1"/>
        <v>81.697938780615559</v>
      </c>
      <c r="V15" s="5">
        <f t="shared" si="1"/>
        <v>76.314152032704555</v>
      </c>
      <c r="W15" s="5">
        <f t="shared" si="1"/>
        <v>72.182873106760752</v>
      </c>
      <c r="X15" s="5">
        <f t="shared" si="1"/>
        <v>69.257605287816148</v>
      </c>
      <c r="Y15" s="5">
        <f t="shared" si="1"/>
        <v>67.481143862800991</v>
      </c>
      <c r="Z15" s="5">
        <f t="shared" si="1"/>
        <v>66.786801156572579</v>
      </c>
      <c r="AA15" s="5">
        <f t="shared" si="1"/>
        <v>67.099572430483207</v>
      </c>
      <c r="AB15" s="5">
        <f t="shared" si="1"/>
        <v>68.337224339554268</v>
      </c>
      <c r="AC15" s="5">
        <f t="shared" si="1"/>
        <v>70.411297145055215</v>
      </c>
      <c r="AD15" s="5">
        <f t="shared" si="1"/>
        <v>73.228019904484</v>
      </c>
      <c r="AE15" s="5">
        <f t="shared" si="1"/>
        <v>76.689144038853158</v>
      </c>
      <c r="AF15" s="5">
        <f t="shared" si="1"/>
        <v>80.692704871583686</v>
      </c>
      <c r="AG15" s="5">
        <f t="shared" si="1"/>
        <v>85.13372303120687</v>
      </c>
      <c r="AH15" s="5">
        <f t="shared" si="1"/>
        <v>89.904858287518977</v>
      </c>
      <c r="AI15" s="5">
        <f t="shared" si="1"/>
        <v>94.897027861362858</v>
      </c>
      <c r="AJ15" s="5">
        <f>C13</f>
        <v>100</v>
      </c>
    </row>
    <row r="16" spans="2:36" x14ac:dyDescent="0.25">
      <c r="F16">
        <v>0</v>
      </c>
      <c r="G16">
        <f>-$C$10*(G13-F13)/$C$4</f>
        <v>273224.23173379671</v>
      </c>
      <c r="H16">
        <f t="shared" ref="H16:AI16" si="2">-$C$10*(H13-G13)/$C$4</f>
        <v>270902.39183957054</v>
      </c>
      <c r="I16">
        <f t="shared" si="2"/>
        <v>266301.09167476895</v>
      </c>
      <c r="J16">
        <f t="shared" si="2"/>
        <v>259503.66341211795</v>
      </c>
      <c r="K16">
        <f t="shared" si="2"/>
        <v>250631.61759663757</v>
      </c>
      <c r="L16">
        <f t="shared" si="2"/>
        <v>239840.67585654577</v>
      </c>
      <c r="M16">
        <f t="shared" si="2"/>
        <v>227315.82712464174</v>
      </c>
      <c r="N16">
        <f t="shared" si="2"/>
        <v>213265.67080874994</v>
      </c>
      <c r="O16">
        <f t="shared" si="2"/>
        <v>197916.338289001</v>
      </c>
      <c r="P16">
        <f t="shared" si="2"/>
        <v>181505.29173511558</v>
      </c>
      <c r="Q16">
        <f t="shared" si="2"/>
        <v>164275.28678047576</v>
      </c>
      <c r="R16">
        <f t="shared" si="2"/>
        <v>146468.75493742639</v>
      </c>
      <c r="S16">
        <f t="shared" si="2"/>
        <v>128322.81606769495</v>
      </c>
      <c r="T16">
        <f t="shared" si="2"/>
        <v>110065.07506747344</v>
      </c>
      <c r="U16">
        <f t="shared" si="2"/>
        <v>91910.295151315164</v>
      </c>
      <c r="V16">
        <f t="shared" si="2"/>
        <v>74057.977844919675</v>
      </c>
      <c r="W16">
        <f t="shared" si="2"/>
        <v>56690.821844744591</v>
      </c>
      <c r="X16">
        <f t="shared" si="2"/>
        <v>39973.983381254649</v>
      </c>
      <c r="Y16">
        <f t="shared" si="2"/>
        <v>24055.022706724514</v>
      </c>
      <c r="Z16">
        <f t="shared" si="2"/>
        <v>9064.3966492830023</v>
      </c>
      <c r="AA16">
        <f t="shared" si="2"/>
        <v>-4883.6536603191234</v>
      </c>
      <c r="AB16">
        <f t="shared" si="2"/>
        <v>-17689.968542421535</v>
      </c>
      <c r="AC16">
        <f t="shared" si="2"/>
        <v>-29269.224219177289</v>
      </c>
      <c r="AD16">
        <f t="shared" si="2"/>
        <v>-39548.689275130746</v>
      </c>
      <c r="AE16">
        <f t="shared" si="2"/>
        <v>-48467.06932268948</v>
      </c>
      <c r="AF16">
        <f t="shared" si="2"/>
        <v>-55973.497154815232</v>
      </c>
      <c r="AG16">
        <f t="shared" si="2"/>
        <v>-62026.698191205876</v>
      </c>
      <c r="AH16">
        <f t="shared" si="2"/>
        <v>-66594.337713291199</v>
      </c>
      <c r="AI16">
        <f t="shared" si="2"/>
        <v>-69652.539212941701</v>
      </c>
    </row>
    <row r="17" spans="2:35" x14ac:dyDescent="0.25">
      <c r="B17" s="1" t="s">
        <v>12</v>
      </c>
      <c r="C17" s="1">
        <f>C10/C4^2</f>
        <v>4139999.9999999991</v>
      </c>
      <c r="E17" s="8" t="s">
        <v>15</v>
      </c>
      <c r="F17">
        <f>0</f>
        <v>0</v>
      </c>
      <c r="G17">
        <f>$C$17/($C$18-$C$19*F17)</f>
        <v>0.25</v>
      </c>
      <c r="H17">
        <f t="shared" ref="H17:AI17" si="3">$C$17/($C$18-$C$19*G17)</f>
        <v>0.26666666666666666</v>
      </c>
      <c r="I17">
        <f t="shared" si="3"/>
        <v>0.26785714285714285</v>
      </c>
      <c r="J17">
        <f t="shared" si="3"/>
        <v>0.26794258373205743</v>
      </c>
      <c r="K17">
        <f t="shared" si="3"/>
        <v>0.26794871794871794</v>
      </c>
      <c r="L17">
        <f t="shared" si="3"/>
        <v>0.26794915836482308</v>
      </c>
      <c r="M17">
        <f t="shared" si="3"/>
        <v>0.26794918998527245</v>
      </c>
      <c r="N17">
        <f t="shared" si="3"/>
        <v>0.26794919225551855</v>
      </c>
      <c r="O17">
        <f t="shared" si="3"/>
        <v>0.26794919241851489</v>
      </c>
      <c r="P17">
        <f t="shared" si="3"/>
        <v>0.26794919243021753</v>
      </c>
      <c r="Q17">
        <f t="shared" si="3"/>
        <v>0.26794919243105775</v>
      </c>
      <c r="R17">
        <f t="shared" si="3"/>
        <v>0.26794919243111803</v>
      </c>
      <c r="S17">
        <f t="shared" si="3"/>
        <v>0.26794919243112236</v>
      </c>
      <c r="T17">
        <f t="shared" si="3"/>
        <v>0.2679491924311227</v>
      </c>
      <c r="U17">
        <f t="shared" si="3"/>
        <v>0.2679491924311227</v>
      </c>
      <c r="V17">
        <f t="shared" si="3"/>
        <v>0.2679491924311227</v>
      </c>
      <c r="W17">
        <f t="shared" si="3"/>
        <v>0.2679491924311227</v>
      </c>
      <c r="X17">
        <f t="shared" si="3"/>
        <v>0.2679491924311227</v>
      </c>
      <c r="Y17">
        <f t="shared" si="3"/>
        <v>0.2679491924311227</v>
      </c>
      <c r="Z17">
        <f t="shared" si="3"/>
        <v>0.2679491924311227</v>
      </c>
      <c r="AA17">
        <f t="shared" si="3"/>
        <v>0.2679491924311227</v>
      </c>
      <c r="AB17">
        <f t="shared" si="3"/>
        <v>0.2679491924311227</v>
      </c>
      <c r="AC17">
        <f t="shared" si="3"/>
        <v>0.2679491924311227</v>
      </c>
      <c r="AD17">
        <f t="shared" si="3"/>
        <v>0.2679491924311227</v>
      </c>
      <c r="AE17">
        <f t="shared" si="3"/>
        <v>0.2679491924311227</v>
      </c>
      <c r="AF17">
        <f t="shared" si="3"/>
        <v>0.2679491924311227</v>
      </c>
      <c r="AG17">
        <f t="shared" si="3"/>
        <v>0.2679491924311227</v>
      </c>
      <c r="AH17">
        <f t="shared" si="3"/>
        <v>0.2679491924311227</v>
      </c>
      <c r="AI17">
        <f t="shared" si="3"/>
        <v>0.2679491924311227</v>
      </c>
    </row>
    <row r="18" spans="2:35" x14ac:dyDescent="0.25">
      <c r="B18" s="1" t="s">
        <v>13</v>
      </c>
      <c r="C18" s="1">
        <f>(2*C10)/C4^2+(C9*C8)/C5</f>
        <v>16559999.999999996</v>
      </c>
      <c r="E18" s="8" t="s">
        <v>16</v>
      </c>
      <c r="F18" s="5">
        <f>F13</f>
        <v>300</v>
      </c>
      <c r="G18">
        <f>(F18*$C$19-G19)/($C$18-$C$19*F17)</f>
        <v>215.1005713139929</v>
      </c>
      <c r="H18">
        <f t="shared" ref="H18:AI18" si="4">(G18*$C$19-H19)/($C$18-$C$19*G17)</f>
        <v>196.33110409635498</v>
      </c>
      <c r="I18">
        <f t="shared" si="4"/>
        <v>181.84227107984137</v>
      </c>
      <c r="J18">
        <f t="shared" si="4"/>
        <v>167.94098629795192</v>
      </c>
      <c r="K18">
        <f t="shared" si="4"/>
        <v>154.48718508409254</v>
      </c>
      <c r="L18">
        <f t="shared" si="4"/>
        <v>141.56872063856261</v>
      </c>
      <c r="M18">
        <f t="shared" si="4"/>
        <v>129.27984065964515</v>
      </c>
      <c r="N18">
        <f t="shared" si="4"/>
        <v>117.70525437366356</v>
      </c>
      <c r="O18">
        <f t="shared" si="4"/>
        <v>106.91812542475377</v>
      </c>
      <c r="P18">
        <f t="shared" si="4"/>
        <v>96.979288686424511</v>
      </c>
      <c r="Q18">
        <f t="shared" si="4"/>
        <v>87.936847665625564</v>
      </c>
      <c r="R18">
        <f t="shared" si="4"/>
        <v>79.826080055664846</v>
      </c>
      <c r="S18">
        <f t="shared" si="4"/>
        <v>72.669618752721775</v>
      </c>
      <c r="T18">
        <f t="shared" si="4"/>
        <v>66.477869859382892</v>
      </c>
      <c r="U18">
        <f t="shared" si="4"/>
        <v>61.249623372386452</v>
      </c>
      <c r="V18">
        <f t="shared" si="4"/>
        <v>56.972809476389799</v>
      </c>
      <c r="W18">
        <f t="shared" si="4"/>
        <v>53.625353700176966</v>
      </c>
      <c r="X18">
        <f t="shared" si="4"/>
        <v>51.176087285450215</v>
      </c>
      <c r="Y18">
        <f t="shared" si="4"/>
        <v>49.585674427839393</v>
      </c>
      <c r="Z18">
        <f t="shared" si="4"/>
        <v>48.807524911350974</v>
      </c>
      <c r="AA18">
        <f t="shared" si="4"/>
        <v>48.788668355715174</v>
      </c>
      <c r="AB18">
        <f t="shared" si="4"/>
        <v>49.470574131508911</v>
      </c>
      <c r="AC18">
        <f t="shared" si="4"/>
        <v>50.789908348318555</v>
      </c>
      <c r="AD18">
        <f t="shared" si="4"/>
        <v>52.679225691039257</v>
      </c>
      <c r="AE18">
        <f t="shared" si="4"/>
        <v>55.067598933429394</v>
      </c>
      <c r="AF18">
        <f t="shared" si="4"/>
        <v>57.881192536716931</v>
      </c>
      <c r="AG18">
        <f t="shared" si="4"/>
        <v>61.043788857431636</v>
      </c>
      <c r="AH18">
        <f t="shared" si="4"/>
        <v>64.477276307953048</v>
      </c>
      <c r="AI18">
        <f t="shared" si="4"/>
        <v>68.102108618250597</v>
      </c>
    </row>
    <row r="19" spans="2:35" x14ac:dyDescent="0.25">
      <c r="B19" s="1" t="s">
        <v>14</v>
      </c>
      <c r="C19" s="1">
        <f>C17</f>
        <v>4139999.9999999991</v>
      </c>
      <c r="E19" s="8" t="s">
        <v>17</v>
      </c>
      <c r="F19">
        <f>-(($C$9*$C$8)/$C$5)*F13</f>
        <v>-2483999999.9999995</v>
      </c>
      <c r="G19">
        <f t="shared" ref="G19:AI19" si="5">-(($C$9*$C$8)/$C$5)*G13</f>
        <v>-2320065460.9597216</v>
      </c>
      <c r="H19">
        <f t="shared" si="5"/>
        <v>-2157524025.8559794</v>
      </c>
      <c r="I19">
        <f t="shared" si="5"/>
        <v>-1997743370.8511181</v>
      </c>
      <c r="J19">
        <f t="shared" si="5"/>
        <v>-1842041172.8038473</v>
      </c>
      <c r="K19">
        <f t="shared" si="5"/>
        <v>-1691662202.2458646</v>
      </c>
      <c r="L19">
        <f t="shared" si="5"/>
        <v>-1547757796.7319372</v>
      </c>
      <c r="M19">
        <f t="shared" si="5"/>
        <v>-1411368300.4571521</v>
      </c>
      <c r="N19">
        <f t="shared" si="5"/>
        <v>-1283408897.9719024</v>
      </c>
      <c r="O19">
        <f t="shared" si="5"/>
        <v>-1164659094.9985018</v>
      </c>
      <c r="P19">
        <f t="shared" si="5"/>
        <v>-1055755919.9574324</v>
      </c>
      <c r="Q19">
        <f t="shared" si="5"/>
        <v>-957190747.88914692</v>
      </c>
      <c r="R19">
        <f t="shared" si="5"/>
        <v>-869309494.92669106</v>
      </c>
      <c r="S19">
        <f t="shared" si="5"/>
        <v>-792315805.28607416</v>
      </c>
      <c r="T19">
        <f t="shared" si="5"/>
        <v>-726276760.24559009</v>
      </c>
      <c r="U19">
        <f t="shared" si="5"/>
        <v>-671130583.15480101</v>
      </c>
      <c r="V19">
        <f t="shared" si="5"/>
        <v>-626695796.44784915</v>
      </c>
      <c r="W19">
        <f t="shared" si="5"/>
        <v>-592681303.34100235</v>
      </c>
      <c r="X19">
        <f t="shared" si="5"/>
        <v>-568696913.31224966</v>
      </c>
      <c r="Y19">
        <f t="shared" si="5"/>
        <v>-554263899.6882149</v>
      </c>
      <c r="Z19">
        <f t="shared" si="5"/>
        <v>-548825261.69864511</v>
      </c>
      <c r="AA19">
        <f t="shared" si="5"/>
        <v>-551755453.89483654</v>
      </c>
      <c r="AB19">
        <f t="shared" si="5"/>
        <v>-562369435.02028954</v>
      </c>
      <c r="AC19">
        <f t="shared" si="5"/>
        <v>-579930969.55179584</v>
      </c>
      <c r="AD19">
        <f t="shared" si="5"/>
        <v>-603660183.11687434</v>
      </c>
      <c r="AE19">
        <f t="shared" si="5"/>
        <v>-632740424.71048796</v>
      </c>
      <c r="AF19">
        <f t="shared" si="5"/>
        <v>-666324523.00337708</v>
      </c>
      <c r="AG19">
        <f t="shared" si="5"/>
        <v>-703540541.91810071</v>
      </c>
      <c r="AH19">
        <f t="shared" si="5"/>
        <v>-743497144.54607534</v>
      </c>
      <c r="AI19">
        <f t="shared" si="5"/>
        <v>-785288668.07384038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 Windows</cp:lastModifiedBy>
  <dcterms:created xsi:type="dcterms:W3CDTF">2021-09-15T19:01:36Z</dcterms:created>
  <dcterms:modified xsi:type="dcterms:W3CDTF">2021-10-24T09:04:58Z</dcterms:modified>
</cp:coreProperties>
</file>